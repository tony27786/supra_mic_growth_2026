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oc/Documents/SHAPHC/04_Experimental/Hetero/00Result/"/>
    </mc:Choice>
  </mc:AlternateContent>
  <xr:revisionPtr revIDLastSave="0" documentId="13_ncr:1_{B00ADDDF-C0C9-AB4E-AB25-2D79E2A3C88B}" xr6:coauthVersionLast="47" xr6:coauthVersionMax="47" xr10:uidLastSave="{00000000-0000-0000-0000-000000000000}"/>
  <bookViews>
    <workbookView xWindow="0" yWindow="660" windowWidth="30240" windowHeight="17700" xr2:uid="{6C5D25F7-6A64-B448-8F49-210C1A2A3E3C}"/>
  </bookViews>
  <sheets>
    <sheet name="Clinical_Isolates" sheetId="1" r:id="rId1"/>
    <sheet name="xxx01" sheetId="2" r:id="rId2"/>
    <sheet name="xxx02" sheetId="3" r:id="rId3"/>
    <sheet name="xxx0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" i="4" l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</calcChain>
</file>

<file path=xl/sharedStrings.xml><?xml version="1.0" encoding="utf-8"?>
<sst xmlns="http://schemas.openxmlformats.org/spreadsheetml/2006/main" count="1516" uniqueCount="107">
  <si>
    <t>Sequence</t>
  </si>
  <si>
    <t>ID</t>
  </si>
  <si>
    <t>Group</t>
  </si>
  <si>
    <t>SampleID</t>
  </si>
  <si>
    <t>Judgement</t>
  </si>
  <si>
    <t>Broth_FLC_ori</t>
  </si>
  <si>
    <t>Broth_add</t>
  </si>
  <si>
    <t>8xBroth</t>
  </si>
  <si>
    <t>ori_inner_flc</t>
  </si>
  <si>
    <t>ori_outer_flc</t>
  </si>
  <si>
    <t>ori_delta</t>
  </si>
  <si>
    <t>re_1_inner_flc</t>
  </si>
  <si>
    <t>re_1_outer_flc</t>
  </si>
  <si>
    <t>re_1_delta</t>
  </si>
  <si>
    <t>re_2_inner_flc</t>
  </si>
  <si>
    <t>re_2_outer_flc</t>
  </si>
  <si>
    <t>re_2_delta</t>
  </si>
  <si>
    <t>re_3_inner_flc</t>
  </si>
  <si>
    <t>re_3_outer_flc</t>
  </si>
  <si>
    <t>re_3_delta</t>
  </si>
  <si>
    <t>re_4_inner_flc</t>
  </si>
  <si>
    <t>re_4_outer_flc</t>
  </si>
  <si>
    <t>re_4_delta</t>
  </si>
  <si>
    <t>re_5_inner_flc</t>
  </si>
  <si>
    <t>re_5_outer_flc</t>
  </si>
  <si>
    <t>re_5_delta</t>
  </si>
  <si>
    <t>note</t>
  </si>
  <si>
    <t>FLC_128_72</t>
  </si>
  <si>
    <t>FLC_64_72</t>
  </si>
  <si>
    <t>FLC_32_72</t>
  </si>
  <si>
    <t>FLC_16_72</t>
  </si>
  <si>
    <t>FLC_8_72</t>
  </si>
  <si>
    <t>FLC_4_72</t>
  </si>
  <si>
    <t>FLC_2_72</t>
  </si>
  <si>
    <t>FLC_1_72</t>
  </si>
  <si>
    <t>FLC_0.5_72</t>
  </si>
  <si>
    <t>FLC_0_72</t>
  </si>
  <si>
    <t>FLC_128_96</t>
  </si>
  <si>
    <t>FLC_64_96</t>
  </si>
  <si>
    <t>FLC_32_96</t>
  </si>
  <si>
    <t>FLC_16_96</t>
  </si>
  <si>
    <t>FLC_8_96</t>
  </si>
  <si>
    <t>FLC_4_96</t>
  </si>
  <si>
    <t>FLC_2_96</t>
  </si>
  <si>
    <t>FLC_1_96</t>
  </si>
  <si>
    <t>FLC_0.5_96</t>
  </si>
  <si>
    <t>FLC_0_96</t>
  </si>
  <si>
    <t>FLC_128_192</t>
  </si>
  <si>
    <t>FLC_64_192</t>
  </si>
  <si>
    <t>FLC_32_192</t>
  </si>
  <si>
    <t>FLC_16_192</t>
  </si>
  <si>
    <t>FLC_8_192</t>
  </si>
  <si>
    <t>FLC_4_192</t>
  </si>
  <si>
    <t>FLC_2_192</t>
  </si>
  <si>
    <t>FLC_1_192</t>
  </si>
  <si>
    <t>FLC_0.5_192</t>
  </si>
  <si>
    <t>FLC_0_192</t>
  </si>
  <si>
    <t>HR</t>
  </si>
  <si>
    <t>b1601128</t>
  </si>
  <si>
    <t>✓</t>
  </si>
  <si>
    <t>H</t>
  </si>
  <si>
    <t>b1602884</t>
  </si>
  <si>
    <t>b1607783</t>
  </si>
  <si>
    <t>b1608905</t>
  </si>
  <si>
    <t>M</t>
  </si>
  <si>
    <t>control</t>
  </si>
  <si>
    <t>b1700447</t>
  </si>
  <si>
    <t>b1711532</t>
  </si>
  <si>
    <t>b1714177</t>
  </si>
  <si>
    <t>b1712890</t>
  </si>
  <si>
    <t>b1801995</t>
  </si>
  <si>
    <t>b1807335</t>
  </si>
  <si>
    <t>R</t>
  </si>
  <si>
    <t>b1809970</t>
  </si>
  <si>
    <t>b1810292</t>
  </si>
  <si>
    <t>b1811168</t>
  </si>
  <si>
    <t>b1816089</t>
  </si>
  <si>
    <t>b1904894</t>
  </si>
  <si>
    <t>生长太慢</t>
  </si>
  <si>
    <t>b1905632</t>
  </si>
  <si>
    <t>b1911049</t>
  </si>
  <si>
    <t>b2305848</t>
  </si>
  <si>
    <t>b23003661</t>
  </si>
  <si>
    <t>H99</t>
  </si>
  <si>
    <t>standard</t>
  </si>
  <si>
    <t>h99</t>
  </si>
  <si>
    <t>FLC_M_0_72</t>
  </si>
  <si>
    <t>FLC_M_32_72</t>
  </si>
  <si>
    <t>FLC_M_12_72</t>
  </si>
  <si>
    <t>FLC_M_24_72</t>
  </si>
  <si>
    <t>FLC_M_8_72</t>
  </si>
  <si>
    <t>FLC_M_16_72</t>
  </si>
  <si>
    <t>FLC_M_0_96</t>
  </si>
  <si>
    <t>FLC_M_8_96</t>
  </si>
  <si>
    <t>FLC_M_12_96</t>
  </si>
  <si>
    <t>FLC_M_16_96</t>
  </si>
  <si>
    <t>FLC_M_24_96</t>
  </si>
  <si>
    <t>FLC_M_32_96</t>
  </si>
  <si>
    <t>H</t>
    <phoneticPr fontId="0" type="noConversion"/>
  </si>
  <si>
    <t>M</t>
    <phoneticPr fontId="0" type="noConversion"/>
  </si>
  <si>
    <t>FLC_M_32_192</t>
  </si>
  <si>
    <t>FLC_M_0_192</t>
  </si>
  <si>
    <t>FLC_M_8_192</t>
  </si>
  <si>
    <t>FLC_M_16_192</t>
  </si>
  <si>
    <t>FLC_M_12_192</t>
  </si>
  <si>
    <t>FLC_M_24_192</t>
  </si>
  <si>
    <t>生长缓慢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</si>
</sst>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1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4E86E3-0A6E-A149-98AF-8E0DA6E48330}" name="Table1" displayName="Table1" ref="A1:BW21" totalsRowShown="0" headerRowDxfId="148" dataDxfId="147">
  <autoFilter ref="A1:BW21" xr:uid="{F84E86E3-0A6E-A149-98AF-8E0DA6E48330}"/>
  <tableColumns count="75">
    <tableColumn id="1" xr3:uid="{E703B13F-7855-0841-9654-441F953B83D1}" name="Sequence" dataDxfId="146"/>
    <tableColumn id="2" xr3:uid="{7DF387DF-B1F4-114F-AA98-C7C4619455F9}" name="ID" dataDxfId="145"/>
    <tableColumn id="3" xr3:uid="{FCF82588-5ECB-0C4A-93AE-59D0FA707D8F}" name="Group" dataDxfId="144"/>
    <tableColumn id="4" xr3:uid="{AA11AB47-9F85-7343-97AA-26D8AA67C081}" name="SampleID" dataDxfId="143"/>
    <tableColumn id="5" xr3:uid="{238F38D5-3D54-5544-AAD8-5AA402ABEE49}" name="Judgement" dataDxfId="142"/>
    <tableColumn id="6" xr3:uid="{654FA7B4-BD9A-9F4C-AECB-4FE7C0F6194C}" name="Broth_FLC_ori" dataDxfId="141"/>
    <tableColumn id="7" xr3:uid="{5DA7F554-D12C-724F-A3A1-FF8A2ABC1612}" name="Broth_add" dataDxfId="140"/>
    <tableColumn id="8" xr3:uid="{AF7E167E-70A4-8B4A-ABF3-F945700FDD51}" name="8xBroth" dataDxfId="139"/>
    <tableColumn id="9" xr3:uid="{8CF0C5F8-9AD5-5F4D-BC57-C3D9BB6C4800}" name="ori_inner_flc" dataDxfId="138"/>
    <tableColumn id="10" xr3:uid="{F3483C3C-8E24-8841-B8C0-2D7FC670CA61}" name="ori_outer_flc" dataDxfId="137"/>
    <tableColumn id="11" xr3:uid="{B6FF78C4-5AA0-B74C-A243-FB0AE29531BF}" name="ori_delta" dataDxfId="136"/>
    <tableColumn id="12" xr3:uid="{81A8443C-F6B1-044D-83AB-7E022A6553F4}" name="re_1_inner_flc" dataDxfId="135"/>
    <tableColumn id="13" xr3:uid="{C20DB503-0211-5848-BF43-DF769A180B78}" name="re_1_outer_flc" dataDxfId="134"/>
    <tableColumn id="14" xr3:uid="{25288326-68E5-BB4B-9CA1-23FDC54FF11A}" name="re_1_delta" dataDxfId="133"/>
    <tableColumn id="15" xr3:uid="{3C27B3A8-5898-BA47-8044-D665D15D142B}" name="re_2_inner_flc" dataDxfId="132"/>
    <tableColumn id="16" xr3:uid="{43A10CAE-0513-294F-BD16-EE792D0FE065}" name="re_2_outer_flc" dataDxfId="131"/>
    <tableColumn id="17" xr3:uid="{2EBD797A-8886-C04B-BB7F-6AC99B4E8599}" name="re_2_delta" dataDxfId="130"/>
    <tableColumn id="18" xr3:uid="{6101E8DA-5378-B64E-B7A5-5240EA07C663}" name="re_3_inner_flc" dataDxfId="129"/>
    <tableColumn id="19" xr3:uid="{94EAB013-622D-FD40-8D7B-E1C9F903B1F2}" name="re_3_outer_flc" dataDxfId="128"/>
    <tableColumn id="20" xr3:uid="{4C5EF4ED-8F8A-1247-AD90-45B0983D965C}" name="re_3_delta" dataDxfId="127"/>
    <tableColumn id="21" xr3:uid="{777FB76C-7650-284E-9852-D36853AA40AC}" name="re_4_inner_flc" dataDxfId="126"/>
    <tableColumn id="22" xr3:uid="{E7845D12-6074-8D48-829B-3045B981B65C}" name="re_4_outer_flc" dataDxfId="125"/>
    <tableColumn id="23" xr3:uid="{398A9F18-FDAE-844F-99C8-3A305CFC4B1D}" name="re_4_delta" dataDxfId="124"/>
    <tableColumn id="24" xr3:uid="{0B4ACF35-E2EC-5646-9FD2-A45F3995D385}" name="re_5_inner_flc" dataDxfId="123"/>
    <tableColumn id="25" xr3:uid="{0BE75FDC-A9EF-B04F-AE22-C147B0000DB5}" name="re_5_outer_flc" dataDxfId="122"/>
    <tableColumn id="26" xr3:uid="{74439617-D8E9-0A4A-AEC9-689E7D8AF507}" name="re_5_delta" dataDxfId="121"/>
    <tableColumn id="27" xr3:uid="{C0D1F4F6-1284-B449-B0C1-980CE0B6F589}" name="note" dataDxfId="120"/>
    <tableColumn id="28" xr3:uid="{9BF7E015-56CA-AB48-9E2F-126FC63DB934}" name="FLC_128_72" dataDxfId="119"/>
    <tableColumn id="29" xr3:uid="{15477265-B945-0A44-B05B-E50D7EBED1B8}" name="FLC_64_72" dataDxfId="118"/>
    <tableColumn id="30" xr3:uid="{1D423F14-89F3-1043-ACFF-04493378B5F1}" name="FLC_32_72" dataDxfId="117"/>
    <tableColumn id="31" xr3:uid="{378BCCFC-21E7-7E44-B255-FD7A79CB3268}" name="FLC_16_72" dataDxfId="116"/>
    <tableColumn id="32" xr3:uid="{EAD7E77C-F27C-1C41-9D04-8475215CE478}" name="FLC_8_72" dataDxfId="115"/>
    <tableColumn id="33" xr3:uid="{92A43576-7EBB-9E49-A990-850CB86EBF71}" name="FLC_4_72" dataDxfId="114"/>
    <tableColumn id="34" xr3:uid="{17B8B019-1C30-3548-B04D-59A4F91FDA53}" name="FLC_2_72" dataDxfId="113"/>
    <tableColumn id="35" xr3:uid="{D5005080-7810-5E42-ABFE-BD1D4553EF9A}" name="FLC_1_72" dataDxfId="112"/>
    <tableColumn id="36" xr3:uid="{68B1E695-B581-E040-837F-EB24C3D4EDE9}" name="FLC_0.5_72" dataDxfId="111"/>
    <tableColumn id="37" xr3:uid="{017FB6A5-42BF-9E4E-AD5F-926C4C106983}" name="FLC_0_72" dataDxfId="110"/>
    <tableColumn id="63" xr3:uid="{47AA7221-D098-044B-BC31-86C9D849D782}" name="FLC_M_0_72" dataDxfId="109"/>
    <tableColumn id="62" xr3:uid="{AF4C3A5D-3E87-D64A-A08E-E50E36188866}" name="FLC_M_8_72" dataDxfId="108"/>
    <tableColumn id="61" xr3:uid="{BF9F5E2A-E72E-2341-B617-CCC2D2C6662A}" name="FLC_M_12_72" dataDxfId="107"/>
    <tableColumn id="60" xr3:uid="{39AF3494-1BA5-6F45-BB18-71AC828F347D}" name="FLC_M_16_72" dataDxfId="106"/>
    <tableColumn id="59" xr3:uid="{98AB0891-8BD1-7F44-BE68-2C7CEA28EFEA}" name="FLC_M_24_72" dataDxfId="105"/>
    <tableColumn id="58" xr3:uid="{8E3C98E4-8B7A-B94B-A0A0-C9E96D73FC09}" name="FLC_M_32_72" dataDxfId="104"/>
    <tableColumn id="38" xr3:uid="{04311F93-652D-9D49-9B72-1D11E2EBB8EB}" name="FLC_128_96" dataDxfId="103"/>
    <tableColumn id="39" xr3:uid="{A39022E6-B3D2-764E-90F8-CC56CE52DA66}" name="FLC_64_96" dataDxfId="102"/>
    <tableColumn id="40" xr3:uid="{833B2049-B2EC-934A-AC5C-4CB5705538D9}" name="FLC_32_96" dataDxfId="101"/>
    <tableColumn id="41" xr3:uid="{325BD2CC-18C4-4443-A094-F95F7B029DFD}" name="FLC_16_96" dataDxfId="100"/>
    <tableColumn id="42" xr3:uid="{4FDE68EF-CFC5-484E-A17E-DF6E5D44668F}" name="FLC_8_96" dataDxfId="99"/>
    <tableColumn id="43" xr3:uid="{203B3F05-4240-DB4E-ACE1-6B8C7B3F7CA7}" name="FLC_4_96" dataDxfId="98"/>
    <tableColumn id="44" xr3:uid="{726FE8E8-6C21-344E-A4BD-F7EF8C607C70}" name="FLC_2_96" dataDxfId="97"/>
    <tableColumn id="45" xr3:uid="{16BD2A03-5795-BB44-BB38-A62D6ED9D914}" name="FLC_1_96" dataDxfId="96"/>
    <tableColumn id="46" xr3:uid="{A7C673F7-33AF-F546-9DF4-70EB3D4CC03D}" name="FLC_0.5_96" dataDxfId="95"/>
    <tableColumn id="47" xr3:uid="{6A719EDD-55EF-2C42-8F7A-C938AF88E82C}" name="FLC_0_96" dataDxfId="94"/>
    <tableColumn id="64" xr3:uid="{643C63E5-F7A9-5F40-9452-FA4916064B1F}" name="FLC_M_0_96" dataDxfId="93"/>
    <tableColumn id="66" xr3:uid="{31B06C5F-D525-0C4D-B4F9-419378DE26C8}" name="FLC_M_8_96" dataDxfId="92"/>
    <tableColumn id="67" xr3:uid="{38F26BD9-5E21-FD47-BA66-98036CAA8AF4}" name="FLC_M_12_96" dataDxfId="91"/>
    <tableColumn id="68" xr3:uid="{624EBCEB-1F7C-4745-8F5D-9CDBDE753E24}" name="FLC_M_16_96" dataDxfId="90"/>
    <tableColumn id="69" xr3:uid="{06C61DFC-59E3-8A40-B0BC-23AB9ACFC26C}" name="FLC_M_24_96" dataDxfId="89"/>
    <tableColumn id="70" xr3:uid="{F13843C8-129F-2C46-A645-7ED7EF0E8FC2}" name="FLC_M_32_96" dataDxfId="88"/>
    <tableColumn id="48" xr3:uid="{B8E1FB17-EEB0-5343-9E01-D71D4A783D56}" name="FLC_128_192" dataDxfId="87"/>
    <tableColumn id="49" xr3:uid="{DF849214-DEEF-BF45-99C5-FEC03265A0D1}" name="FLC_64_192" dataDxfId="86"/>
    <tableColumn id="50" xr3:uid="{12FA5268-ED19-6E4A-8F87-0AF1CF216B60}" name="FLC_32_192" dataDxfId="85"/>
    <tableColumn id="51" xr3:uid="{F79B621E-F2A0-8C4D-A6EF-A02D1515E432}" name="FLC_16_192" dataDxfId="84"/>
    <tableColumn id="52" xr3:uid="{9F11FA63-988A-C143-94F6-D7C7E054B7D9}" name="FLC_8_192" dataDxfId="83"/>
    <tableColumn id="53" xr3:uid="{5BC739F8-FE9B-3C4E-A60A-2F550C7EF121}" name="FLC_4_192" dataDxfId="82"/>
    <tableColumn id="54" xr3:uid="{72AD6EF0-46E4-E64A-920D-1B557B77CB9E}" name="FLC_2_192" dataDxfId="81"/>
    <tableColumn id="55" xr3:uid="{62B0043B-DD59-534F-BAF1-1F5109D7DD12}" name="FLC_1_192" dataDxfId="80"/>
    <tableColumn id="56" xr3:uid="{B1A12F6A-BB8A-824E-AA02-EA8AECC9C2D8}" name="FLC_0.5_192" dataDxfId="79"/>
    <tableColumn id="57" xr3:uid="{2391563E-5F02-C747-B9CE-CFEBE4BA3BC8}" name="FLC_0_192" dataDxfId="78"/>
    <tableColumn id="71" xr3:uid="{31996E54-ED9E-0F4E-91B1-F4ED5A7DBB24}" name="FLC_M_0_192" dataDxfId="77"/>
    <tableColumn id="72" xr3:uid="{4B117A38-F09C-8348-83FA-04CC82098076}" name="FLC_M_8_192" dataDxfId="76"/>
    <tableColumn id="74" xr3:uid="{C9FD5C2F-8C75-3742-ACFE-C316DB72B62F}" name="FLC_M_12_192" dataDxfId="75"/>
    <tableColumn id="73" xr3:uid="{559F575E-CCA4-D545-B4C9-27A7DAF5CB08}" name="FLC_M_16_192" dataDxfId="74"/>
    <tableColumn id="75" xr3:uid="{79B55286-B4E5-024C-97F3-9512D5CAD0E2}" name="FLC_M_24_192" dataDxfId="73"/>
    <tableColumn id="76" xr3:uid="{F733880D-3457-D540-8AAE-792FAC61F139}" name="FLC_M_32_192" dataDxfId="7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16D95F-679A-D342-8C94-D2909D6F6171}" name="Table2" displayName="Table2" ref="A1:AG21" totalsRowShown="0" headerRowDxfId="71" dataDxfId="70" tableBorderDxfId="69">
  <autoFilter ref="A1:AG21" xr:uid="{8716D95F-679A-D342-8C94-D2909D6F6171}"/>
  <tableColumns count="33">
    <tableColumn id="1" xr3:uid="{5AE7920B-DB94-3E40-9EAD-C706CCE2DEDC}" name="Sequence" dataDxfId="68"/>
    <tableColumn id="2" xr3:uid="{66FC98D5-C84D-6E40-93A0-ECB36CB2D7A3}" name="ID" dataDxfId="67"/>
    <tableColumn id="3" xr3:uid="{DC99C83E-D54B-984A-9D78-57C5659B47EB}" name="Group" dataDxfId="66"/>
    <tableColumn id="4" xr3:uid="{79F9F37F-D0C7-E847-8DD0-9D85CE593A78}" name="SampleID" dataDxfId="65"/>
    <tableColumn id="5" xr3:uid="{78558503-F53D-8540-AF52-A03E3A687C0B}" name="Judgement" dataDxfId="64"/>
    <tableColumn id="6" xr3:uid="{7D7F866C-37DC-5C49-B726-6904763172CC}" name="Broth_FLC_ori" dataDxfId="63"/>
    <tableColumn id="7" xr3:uid="{DFDD4B0D-82D6-BC45-98B4-853B3325E298}" name="Broth_add" dataDxfId="62"/>
    <tableColumn id="8" xr3:uid="{938A0F04-6988-864D-B588-73C6995A16E8}" name="8xBroth" dataDxfId="61"/>
    <tableColumn id="9" xr3:uid="{BC96A687-382B-5E47-BBE1-0368A56A6FBB}" name="ori_inner_flc" dataDxfId="60"/>
    <tableColumn id="10" xr3:uid="{95FD74D7-ABCA-8849-B220-16AD6EF4837B}" name="ori_outer_flc" dataDxfId="59"/>
    <tableColumn id="11" xr3:uid="{18F23CC3-C65E-BD4C-B16D-C7E2A9F354A5}" name="ori_delta" dataDxfId="58"/>
    <tableColumn id="12" xr3:uid="{C526F18B-D4E2-4243-A5B2-CD788D2A3E3F}" name="re_1_inner_flc" dataDxfId="57"/>
    <tableColumn id="13" xr3:uid="{F5755BCF-0FD7-8A4A-B646-E92FEF30D973}" name="re_1_outer_flc" dataDxfId="56"/>
    <tableColumn id="14" xr3:uid="{649DAD37-477C-0343-B619-38883CE4B43C}" name="re_1_delta" dataDxfId="55">
      <calculatedColumnFormula>Table2[[#This Row],[re_1_outer_flc]]-Table2[[#This Row],[re_1_inner_flc]]</calculatedColumnFormula>
    </tableColumn>
    <tableColumn id="15" xr3:uid="{FD2C8F79-D2E4-4F4D-882E-7B22F64648F7}" name="re_2_inner_flc" dataDxfId="54"/>
    <tableColumn id="16" xr3:uid="{839B4F02-BC42-9240-B0F9-AF14D4BE1BEF}" name="re_2_outer_flc" dataDxfId="53"/>
    <tableColumn id="17" xr3:uid="{68AF6A4E-1F66-DA43-A1A9-D1BEF26E3739}" name="re_2_delta" dataDxfId="52">
      <calculatedColumnFormula>Table2[[#This Row],[re_2_outer_flc]]-Table2[[#This Row],[re_2_inner_flc]]</calculatedColumnFormula>
    </tableColumn>
    <tableColumn id="18" xr3:uid="{C446C969-C435-E244-8B6B-2B677D02D8AF}" name="re_3_inner_flc" dataDxfId="51"/>
    <tableColumn id="19" xr3:uid="{52F08E60-0670-3F4B-9777-2F87755CC027}" name="re_3_outer_flc" dataDxfId="50"/>
    <tableColumn id="20" xr3:uid="{61A994F9-102E-3944-9C33-1ED4DE5A13D3}" name="re_3_delta" dataDxfId="49">
      <calculatedColumnFormula>Table2[[#This Row],[re_3_outer_flc]]-Table2[[#This Row],[re_3_inner_flc]]</calculatedColumnFormula>
    </tableColumn>
    <tableColumn id="27" xr3:uid="{0AE0C95F-95E8-C148-A314-7B0ECA14C12C}" name="note" dataDxfId="48"/>
    <tableColumn id="58" xr3:uid="{FF9C9895-6C2E-7A49-A9A3-E26318B01F51}" name="FLC_M_0_72" dataDxfId="47"/>
    <tableColumn id="59" xr3:uid="{1826ED4A-BBA1-6B46-8236-90685336D591}" name="FLC_M_8_72" dataDxfId="46"/>
    <tableColumn id="60" xr3:uid="{6A76FE8C-E8A3-114B-A0DE-ADCCF8A53C5C}" name="FLC_M_12_72" dataDxfId="45"/>
    <tableColumn id="61" xr3:uid="{783D2831-4152-0042-9225-801475EABFD7}" name="FLC_M_16_72" dataDxfId="44"/>
    <tableColumn id="62" xr3:uid="{C8A1B898-7090-C74F-AACD-24B0A4A83568}" name="FLC_M_24_72" dataDxfId="43"/>
    <tableColumn id="63" xr3:uid="{DB75476C-DE8F-DD4E-ADC3-99A60C5C5E0B}" name="FLC_M_32_72" dataDxfId="42"/>
    <tableColumn id="64" xr3:uid="{EA59AF36-12FB-5944-AB86-F71DA3DEED13}" name="FLC_M_0_96" dataDxfId="41"/>
    <tableColumn id="65" xr3:uid="{3CC508C0-7160-B24C-8F8D-CD1EC008D33D}" name="FLC_M_8_96" dataDxfId="40"/>
    <tableColumn id="66" xr3:uid="{1A30069F-54E1-744C-8AB5-8D7B25B1A51C}" name="FLC_M_12_96" dataDxfId="39"/>
    <tableColumn id="67" xr3:uid="{853B3B91-29EF-9343-BACC-AC6C1CC1C427}" name="FLC_M_16_96" dataDxfId="38"/>
    <tableColumn id="68" xr3:uid="{164C7C92-E822-6047-B54F-1687F439B4FC}" name="FLC_M_24_96" dataDxfId="37"/>
    <tableColumn id="69" xr3:uid="{0B29ADBE-1E32-0B49-A3C2-89620724F2BD}" name="FLC_M_32_96" dataDxfId="3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D6448A-AB5B-794C-936F-B5F940D9F5E5}" name="Table24" displayName="Table24" ref="A1:AG21" totalsRowShown="0" headerRowDxfId="35" dataDxfId="34" tableBorderDxfId="33">
  <autoFilter ref="A1:AG21" xr:uid="{8716D95F-679A-D342-8C94-D2909D6F6171}"/>
  <tableColumns count="33">
    <tableColumn id="1" xr3:uid="{3B2F2678-2034-9343-9EC0-E9C5CE491CAA}" name="Sequence" dataDxfId="32"/>
    <tableColumn id="2" xr3:uid="{D75D123D-6A5B-3447-96DC-50A199034CC3}" name="ID" dataDxfId="31"/>
    <tableColumn id="3" xr3:uid="{726514FD-65F3-6941-8ABF-BB5FDD7AF270}" name="Group" dataDxfId="30"/>
    <tableColumn id="4" xr3:uid="{DC00C28F-4A43-F341-BD7D-B9C42F0D1155}" name="SampleID" dataDxfId="29"/>
    <tableColumn id="5" xr3:uid="{4D8DAAB3-072B-BC4B-99AC-0C78ABD51E22}" name="Judgement" dataDxfId="28"/>
    <tableColumn id="6" xr3:uid="{F2451999-34A6-6446-B463-C51EC0A214D5}" name="Broth_FLC_ori" dataDxfId="27"/>
    <tableColumn id="7" xr3:uid="{5F708D6D-EC51-554C-B706-E4D54EA9C15B}" name="Broth_add" dataDxfId="26"/>
    <tableColumn id="8" xr3:uid="{48E09194-0433-1743-B1A8-2EC445413159}" name="8xBroth" dataDxfId="25"/>
    <tableColumn id="9" xr3:uid="{F0254ACA-8AC1-F145-AEDC-67904BCFA9E3}" name="ori_inner_flc" dataDxfId="24"/>
    <tableColumn id="10" xr3:uid="{3A08C534-0AB4-484D-9FAB-EF55971A7FE9}" name="ori_outer_flc" dataDxfId="23"/>
    <tableColumn id="11" xr3:uid="{8C150B83-BB78-5E49-BB3E-5656728DCAC3}" name="ori_delta" dataDxfId="22"/>
    <tableColumn id="12" xr3:uid="{4FF5A8BF-E15C-BE41-9A56-1999DC634D0F}" name="re_1_inner_flc" dataDxfId="21"/>
    <tableColumn id="13" xr3:uid="{E0031B70-4AA7-8A4F-BA01-77A8F23D9B0D}" name="re_1_outer_flc" dataDxfId="20"/>
    <tableColumn id="14" xr3:uid="{FC8AA7F0-2B4B-0745-863D-D8F5FF5E5C68}" name="re_1_delta" dataDxfId="19">
      <calculatedColumnFormula>Table24[[#This Row],[re_1_outer_flc]]-Table24[[#This Row],[re_1_inner_flc]]</calculatedColumnFormula>
    </tableColumn>
    <tableColumn id="15" xr3:uid="{0E35FCC5-7188-EA4D-A1BA-5375BC0CE0C1}" name="re_2_inner_flc" dataDxfId="18"/>
    <tableColumn id="16" xr3:uid="{692AFF52-43F3-444B-98A3-24B58F66F59E}" name="re_2_outer_flc" dataDxfId="17"/>
    <tableColumn id="17" xr3:uid="{93C146B6-20A2-8041-AF6F-39DBD86FFC71}" name="re_2_delta" dataDxfId="16">
      <calculatedColumnFormula>Table24[[#This Row],[re_2_outer_flc]]-Table24[[#This Row],[re_2_inner_flc]]</calculatedColumnFormula>
    </tableColumn>
    <tableColumn id="18" xr3:uid="{616F1D9A-CD66-2F4E-BAF4-CD0927F2D20F}" name="re_3_inner_flc" dataDxfId="15"/>
    <tableColumn id="19" xr3:uid="{A830E35F-2587-5549-8DDB-91DE2D4C210A}" name="re_3_outer_flc" dataDxfId="14"/>
    <tableColumn id="20" xr3:uid="{31D6D2D0-980B-EE4B-92CE-9939980D1B7D}" name="re_3_delta" dataDxfId="13">
      <calculatedColumnFormula>Table24[[#This Row],[re_3_outer_flc]]-Table24[[#This Row],[re_3_inner_flc]]</calculatedColumnFormula>
    </tableColumn>
    <tableColumn id="27" xr3:uid="{9CB4472A-88D5-4B4E-A9C1-A3A972B6AA09}" name="note" dataDxfId="12"/>
    <tableColumn id="58" xr3:uid="{01953994-F87F-D34A-942B-9963AE29080A}" name="FLC_M_0_72" dataDxfId="11"/>
    <tableColumn id="59" xr3:uid="{B5DB9077-4B09-DC45-AD68-8BA4A342AB8A}" name="FLC_M_8_72" dataDxfId="10"/>
    <tableColumn id="60" xr3:uid="{D94CD27B-7BBB-2B41-AC19-8B17D7D37E27}" name="FLC_M_12_72" dataDxfId="9"/>
    <tableColumn id="61" xr3:uid="{538C840A-5027-B04C-90A7-7C4880A54FDD}" name="FLC_M_16_72" dataDxfId="8"/>
    <tableColumn id="62" xr3:uid="{08B2A0E6-0D66-F941-8C94-35618495841B}" name="FLC_M_24_72" dataDxfId="7"/>
    <tableColumn id="63" xr3:uid="{0B439866-4B7D-CB4F-8986-FBD5EA2CE543}" name="FLC_M_32_72" dataDxfId="6"/>
    <tableColumn id="64" xr3:uid="{0734ED75-FD11-C24B-B20C-F8634EF1526B}" name="FLC_M_0_96" dataDxfId="5"/>
    <tableColumn id="65" xr3:uid="{DC31D052-CC79-5745-B7DF-7DB1D2FD3B66}" name="FLC_M_8_96" dataDxfId="4"/>
    <tableColumn id="66" xr3:uid="{6B2CC432-7D6D-C04E-9720-978F013F5E7F}" name="FLC_M_12_96" dataDxfId="3"/>
    <tableColumn id="67" xr3:uid="{056DA86D-028F-4C43-A14F-314716C9E405}" name="FLC_M_16_96" dataDxfId="2"/>
    <tableColumn id="68" xr3:uid="{6E783C0C-EF8B-134E-87C3-5ADCB6D8BD78}" name="FLC_M_24_96" dataDxfId="1"/>
    <tableColumn id="69" xr3:uid="{82C4042F-C9C0-CF4D-957D-6C76469BCC6F}" name="FLC_M_32_96" dataDxfId="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A2772D-9E09-884B-8C6B-81CCAC4C90A3}" name="Table4" displayName="Table4" ref="A1:AG21" totalsRowShown="0" headerRowDxfId="183" dataDxfId="182">
  <autoFilter ref="A1:AG21" xr:uid="{69A2772D-9E09-884B-8C6B-81CCAC4C90A3}"/>
  <tableColumns count="33">
    <tableColumn id="1" xr3:uid="{6EDD50C5-B387-0D46-89D8-A8D15DB0B1D7}" name="Sequence" dataDxfId="181"/>
    <tableColumn id="2" xr3:uid="{48650BE4-A946-D54F-B62F-70205DCAF6F0}" name="ID" dataDxfId="180"/>
    <tableColumn id="3" xr3:uid="{A5A63066-5348-1E4C-AB73-A54B3F173C64}" name="Group" dataDxfId="179"/>
    <tableColumn id="4" xr3:uid="{D462FC65-F48E-5C4E-B1EB-DC1F89298B52}" name="SampleID" dataDxfId="178"/>
    <tableColumn id="5" xr3:uid="{0D063CDF-E13F-F943-868F-7C36F82149D6}" name="Judgement" dataDxfId="177"/>
    <tableColumn id="6" xr3:uid="{1DB7D6DD-B935-2249-9689-9269CD29026D}" name="Broth_FLC_ori" dataDxfId="176"/>
    <tableColumn id="7" xr3:uid="{288E55AF-7CED-C14E-8345-104A76BEC43D}" name="Broth_add" dataDxfId="175"/>
    <tableColumn id="8" xr3:uid="{E2F7F362-D42D-AD4E-957E-19207F52F0A8}" name="8xBroth" dataDxfId="174"/>
    <tableColumn id="9" xr3:uid="{2DF4FA73-F79B-614C-85A7-180A700F8076}" name="ori_inner_flc" dataDxfId="173"/>
    <tableColumn id="10" xr3:uid="{DEDEEE3D-68E2-A746-9E17-86398D156161}" name="ori_outer_flc" dataDxfId="172"/>
    <tableColumn id="11" xr3:uid="{73E32947-A5E8-A044-92B4-737E55407188}" name="ori_delta" dataDxfId="171"/>
    <tableColumn id="12" xr3:uid="{B9D89833-8A46-2F4C-9516-F8A7145F4888}" name="re_1_inner_flc" dataDxfId="170"/>
    <tableColumn id="13" xr3:uid="{95B8CE4C-4DD8-6042-A2D1-12F9F5A0F484}" name="re_1_outer_flc" dataDxfId="169"/>
    <tableColumn id="14" xr3:uid="{78479649-653B-274B-8045-9F6D90B69902}" name="re_1_delta" dataDxfId="168">
      <calculatedColumnFormula>Table4[[#This Row],[re_1_outer_flc]]-Table4[[#This Row],[re_1_inner_flc]]</calculatedColumnFormula>
    </tableColumn>
    <tableColumn id="15" xr3:uid="{164C71C0-46FE-5946-887A-A049665F7893}" name="re_2_inner_flc" dataDxfId="167"/>
    <tableColumn id="16" xr3:uid="{82E43ED2-588C-0F48-ADD9-5E283280F126}" name="re_2_outer_flc" dataDxfId="166"/>
    <tableColumn id="17" xr3:uid="{FA1988AB-A0B5-BB4E-B9D3-78E41F9A053E}" name="re_2_delta" dataDxfId="165">
      <calculatedColumnFormula>Table4[[#This Row],[re_2_outer_flc]]-Table4[[#This Row],[re_2_inner_flc]]</calculatedColumnFormula>
    </tableColumn>
    <tableColumn id="18" xr3:uid="{95C8E2F9-A52A-3F4C-98FC-3F95346844D2}" name="re_3_inner_flc" dataDxfId="164"/>
    <tableColumn id="19" xr3:uid="{6C05CF89-006B-F94A-8998-767540D86537}" name="re_3_outer_flc" dataDxfId="163"/>
    <tableColumn id="20" xr3:uid="{16FCA18D-6649-414C-ACB0-A35E814CA756}" name="re_3_delta" dataDxfId="162">
      <calculatedColumnFormula>Table4[[#This Row],[re_3_outer_flc]]-Table4[[#This Row],[re_3_inner_flc]]</calculatedColumnFormula>
    </tableColumn>
    <tableColumn id="21" xr3:uid="{DD2F2B6E-9D93-134E-AC04-09850F1BB897}" name="note" dataDxfId="161"/>
    <tableColumn id="22" xr3:uid="{6542813B-CC24-0144-9D33-4740F0514A13}" name="FLC_M_0_72" dataDxfId="160"/>
    <tableColumn id="23" xr3:uid="{5AAA2C38-9D0C-7844-AD00-EE1961E9A769}" name="FLC_M_8_72" dataDxfId="159"/>
    <tableColumn id="24" xr3:uid="{A1BAE9BB-D191-3645-96A0-7F1657431E0A}" name="FLC_M_12_72" dataDxfId="158"/>
    <tableColumn id="25" xr3:uid="{CA990131-2ED7-144D-BEE0-AFFCD79FDACE}" name="FLC_M_16_72" dataDxfId="157"/>
    <tableColumn id="26" xr3:uid="{A7FCB3F2-1B31-594D-9BFC-73EA64E1A756}" name="FLC_M_24_72" dataDxfId="156"/>
    <tableColumn id="27" xr3:uid="{471F313B-57CB-DD40-A652-CF57015D8E77}" name="FLC_M_32_72" dataDxfId="155"/>
    <tableColumn id="28" xr3:uid="{26FDA758-FEB4-AB42-B0E6-33F41E6225C5}" name="FLC_M_0_96" dataDxfId="154"/>
    <tableColumn id="29" xr3:uid="{358F29DE-25FE-6842-B7A6-9592131D7873}" name="FLC_M_8_96" dataDxfId="153"/>
    <tableColumn id="30" xr3:uid="{2226B708-7709-0D47-9B87-A1766927EF17}" name="FLC_M_12_96" dataDxfId="152"/>
    <tableColumn id="31" xr3:uid="{70B30E6B-D9A2-E84E-B4D6-85D74EE9B76B}" name="FLC_M_16_96" dataDxfId="151"/>
    <tableColumn id="32" xr3:uid="{3D4495BF-F6CA-0F4A-81D4-9C010A1678E8}" name="FLC_M_24_96" dataDxfId="150"/>
    <tableColumn id="33" xr3:uid="{A7BC4D55-ABEE-B142-8E49-0DB24B6EFCF7}" name="FLC_M_32_96" dataDxfId="14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A65F-2A56-6749-B221-4CD33AD09D7C}">
  <dimension ref="A1:BW21"/>
  <sheetViews>
    <sheetView tabSelected="1" zoomScale="130" zoomScaleNormal="130" workbookViewId="0">
      <pane xSplit="3" ySplit="1" topLeftCell="AA2" activePane="bottomRight" state="frozen"/>
      <selection pane="topRight" activeCell="D1" sqref="D1"/>
      <selection pane="bottomLeft" activeCell="A2" sqref="A2"/>
      <selection pane="bottomRight" activeCell="E23" sqref="E23"/>
    </sheetView>
  </sheetViews>
  <sheetFormatPr baseColWidth="10" defaultRowHeight="16" x14ac:dyDescent="0.2"/>
  <cols>
    <col min="1" max="1" width="12.1640625" style="2" customWidth="1"/>
    <col min="2" max="2" width="6" style="2" customWidth="1"/>
    <col min="3" max="3" width="8.6640625" style="2" bestFit="1" customWidth="1"/>
    <col min="4" max="4" width="12.5" style="2" customWidth="1"/>
    <col min="5" max="5" width="12.6640625" style="1" bestFit="1" customWidth="1"/>
    <col min="6" max="6" width="15.33203125" style="2" bestFit="1" customWidth="1"/>
    <col min="7" max="7" width="12" style="2" bestFit="1" customWidth="1"/>
    <col min="8" max="8" width="10" style="2" bestFit="1" customWidth="1"/>
    <col min="9" max="9" width="13.83203125" style="2" bestFit="1" customWidth="1"/>
    <col min="10" max="10" width="14" style="2" bestFit="1" customWidth="1"/>
    <col min="11" max="11" width="10.83203125" style="2"/>
    <col min="12" max="12" width="15.1640625" style="2" bestFit="1" customWidth="1"/>
    <col min="13" max="13" width="15.33203125" style="2" bestFit="1" customWidth="1"/>
    <col min="14" max="14" width="12.1640625" style="2" bestFit="1" customWidth="1"/>
    <col min="15" max="15" width="15.1640625" style="2" bestFit="1" customWidth="1"/>
    <col min="16" max="16" width="15.33203125" style="2" bestFit="1" customWidth="1"/>
    <col min="17" max="17" width="12.1640625" style="2" bestFit="1" customWidth="1"/>
    <col min="18" max="18" width="15.1640625" style="2" bestFit="1" customWidth="1"/>
    <col min="19" max="19" width="15.33203125" style="2" bestFit="1" customWidth="1"/>
    <col min="20" max="20" width="12.1640625" style="2" bestFit="1" customWidth="1"/>
    <col min="21" max="21" width="15.1640625" style="2" bestFit="1" customWidth="1"/>
    <col min="22" max="22" width="15.33203125" style="2" bestFit="1" customWidth="1"/>
    <col min="23" max="23" width="12.1640625" style="2" bestFit="1" customWidth="1"/>
    <col min="24" max="24" width="15.1640625" style="2" bestFit="1" customWidth="1"/>
    <col min="25" max="25" width="15.33203125" style="2" bestFit="1" customWidth="1"/>
    <col min="26" max="26" width="12.1640625" style="2" bestFit="1" customWidth="1"/>
    <col min="27" max="27" width="10.33203125" style="2" customWidth="1"/>
    <col min="28" max="28" width="16.1640625" style="2" bestFit="1" customWidth="1"/>
    <col min="29" max="31" width="15.1640625" style="2" bestFit="1" customWidth="1"/>
    <col min="32" max="35" width="14.1640625" style="2" bestFit="1" customWidth="1"/>
    <col min="36" max="36" width="15.6640625" style="2" bestFit="1" customWidth="1"/>
    <col min="37" max="37" width="14.1640625" style="2" bestFit="1" customWidth="1"/>
    <col min="38" max="39" width="16.5" style="2" bestFit="1" customWidth="1"/>
    <col min="40" max="43" width="17.5" style="2" bestFit="1" customWidth="1"/>
    <col min="44" max="44" width="16.1640625" style="2" bestFit="1" customWidth="1"/>
    <col min="45" max="47" width="15.1640625" style="2" bestFit="1" customWidth="1"/>
    <col min="48" max="51" width="14.1640625" style="2" bestFit="1" customWidth="1"/>
    <col min="52" max="52" width="15.6640625" style="2" bestFit="1" customWidth="1"/>
    <col min="53" max="53" width="14.1640625" style="2" bestFit="1" customWidth="1"/>
    <col min="54" max="55" width="16.5" style="2" bestFit="1" customWidth="1"/>
    <col min="56" max="59" width="17.5" style="2" bestFit="1" customWidth="1"/>
    <col min="60" max="60" width="17.1640625" style="2" bestFit="1" customWidth="1"/>
    <col min="61" max="63" width="16.1640625" style="2" bestFit="1" customWidth="1"/>
    <col min="64" max="67" width="15.1640625" style="2" bestFit="1" customWidth="1"/>
    <col min="68" max="68" width="16.6640625" style="2" bestFit="1" customWidth="1"/>
    <col min="69" max="69" width="15.1640625" style="2" bestFit="1" customWidth="1"/>
    <col min="70" max="71" width="17.5" style="2" bestFit="1" customWidth="1"/>
    <col min="72" max="75" width="18.5" style="2" bestFit="1" customWidth="1"/>
    <col min="76" max="16384" width="10.83203125" style="2"/>
  </cols>
  <sheetData>
    <row r="1" spans="1:7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86</v>
      </c>
      <c r="AM1" s="1" t="s">
        <v>90</v>
      </c>
      <c r="AN1" s="1" t="s">
        <v>88</v>
      </c>
      <c r="AO1" s="1" t="s">
        <v>91</v>
      </c>
      <c r="AP1" s="1" t="s">
        <v>89</v>
      </c>
      <c r="AQ1" s="1" t="s">
        <v>87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47</v>
      </c>
      <c r="BI1" s="1" t="s">
        <v>48</v>
      </c>
      <c r="BJ1" s="1" t="s">
        <v>49</v>
      </c>
      <c r="BK1" s="1" t="s">
        <v>50</v>
      </c>
      <c r="BL1" s="1" t="s">
        <v>51</v>
      </c>
      <c r="BM1" s="1" t="s">
        <v>52</v>
      </c>
      <c r="BN1" s="1" t="s">
        <v>53</v>
      </c>
      <c r="BO1" s="1" t="s">
        <v>54</v>
      </c>
      <c r="BP1" s="1" t="s">
        <v>55</v>
      </c>
      <c r="BQ1" s="1" t="s">
        <v>56</v>
      </c>
      <c r="BR1" s="1" t="s">
        <v>101</v>
      </c>
      <c r="BS1" s="1" t="s">
        <v>102</v>
      </c>
      <c r="BT1" s="1" t="s">
        <v>104</v>
      </c>
      <c r="BU1" s="1" t="s">
        <v>103</v>
      </c>
      <c r="BV1" s="1" t="s">
        <v>105</v>
      </c>
      <c r="BW1" s="1" t="s">
        <v>100</v>
      </c>
    </row>
    <row r="2" spans="1:75" x14ac:dyDescent="0.2">
      <c r="A2" s="1">
        <v>1</v>
      </c>
      <c r="B2" s="1">
        <v>101</v>
      </c>
      <c r="C2" s="1" t="s">
        <v>57</v>
      </c>
      <c r="D2" s="1" t="s">
        <v>58</v>
      </c>
      <c r="E2" s="1" t="s">
        <v>59</v>
      </c>
      <c r="F2" s="1">
        <v>2</v>
      </c>
      <c r="G2" s="1"/>
      <c r="H2" s="1">
        <v>16</v>
      </c>
      <c r="I2" s="1">
        <v>6</v>
      </c>
      <c r="J2" s="1">
        <v>15.48</v>
      </c>
      <c r="K2" s="1">
        <v>9.48</v>
      </c>
      <c r="L2" s="1">
        <v>9.56</v>
      </c>
      <c r="M2" s="1">
        <v>28.94</v>
      </c>
      <c r="N2" s="1">
        <v>19.380000000000003</v>
      </c>
      <c r="O2" s="1">
        <v>13.6</v>
      </c>
      <c r="P2" s="1">
        <v>29.6</v>
      </c>
      <c r="Q2" s="1">
        <v>16</v>
      </c>
      <c r="R2" s="1">
        <v>13.44</v>
      </c>
      <c r="S2" s="1">
        <v>29.02</v>
      </c>
      <c r="T2" s="1">
        <v>15.58</v>
      </c>
      <c r="U2" s="1">
        <v>9.92</v>
      </c>
      <c r="V2" s="1">
        <v>26.78</v>
      </c>
      <c r="W2" s="1">
        <v>16.86</v>
      </c>
      <c r="X2" s="1">
        <v>7.08</v>
      </c>
      <c r="Y2" s="1">
        <v>23.98</v>
      </c>
      <c r="Z2" s="1">
        <v>16.899999999999999</v>
      </c>
      <c r="AA2" s="1"/>
      <c r="AB2" s="1">
        <v>0</v>
      </c>
      <c r="AC2" s="1">
        <v>0</v>
      </c>
      <c r="AD2" s="1">
        <v>0</v>
      </c>
      <c r="AE2" s="1">
        <v>93</v>
      </c>
      <c r="AF2" s="1">
        <v>587</v>
      </c>
      <c r="AG2" s="1" t="s">
        <v>60</v>
      </c>
      <c r="AH2" s="1" t="s">
        <v>60</v>
      </c>
      <c r="AI2" s="1" t="s">
        <v>60</v>
      </c>
      <c r="AJ2" s="1" t="s">
        <v>60</v>
      </c>
      <c r="AK2" s="1" t="s">
        <v>60</v>
      </c>
      <c r="AL2" s="1" t="s">
        <v>60</v>
      </c>
      <c r="AM2" s="1" t="s">
        <v>60</v>
      </c>
      <c r="AN2" s="1">
        <v>511</v>
      </c>
      <c r="AO2" s="1">
        <v>9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183</v>
      </c>
      <c r="AV2" s="1" t="s">
        <v>60</v>
      </c>
      <c r="AW2" s="1" t="s">
        <v>60</v>
      </c>
      <c r="AX2" s="1" t="s">
        <v>60</v>
      </c>
      <c r="AY2" s="1" t="s">
        <v>60</v>
      </c>
      <c r="AZ2" s="1" t="s">
        <v>60</v>
      </c>
      <c r="BA2" s="1" t="s">
        <v>60</v>
      </c>
      <c r="BB2" s="1" t="s">
        <v>60</v>
      </c>
      <c r="BC2" s="1" t="s">
        <v>60</v>
      </c>
      <c r="BD2" s="1" t="s">
        <v>60</v>
      </c>
      <c r="BE2" s="1">
        <v>149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282</v>
      </c>
      <c r="BL2" s="1" t="s">
        <v>60</v>
      </c>
      <c r="BM2" s="1" t="s">
        <v>60</v>
      </c>
      <c r="BN2" s="1" t="s">
        <v>60</v>
      </c>
      <c r="BO2" s="1" t="s">
        <v>60</v>
      </c>
      <c r="BP2" s="1" t="s">
        <v>60</v>
      </c>
      <c r="BQ2" s="1" t="s">
        <v>60</v>
      </c>
      <c r="BR2" s="1" t="s">
        <v>60</v>
      </c>
      <c r="BS2" s="1" t="s">
        <v>60</v>
      </c>
      <c r="BT2" s="1" t="s">
        <v>60</v>
      </c>
      <c r="BU2" s="1">
        <v>196</v>
      </c>
      <c r="BV2" s="1">
        <v>2</v>
      </c>
      <c r="BW2" s="1">
        <v>0</v>
      </c>
    </row>
    <row r="3" spans="1:75" x14ac:dyDescent="0.2">
      <c r="A3" s="1">
        <v>2</v>
      </c>
      <c r="B3" s="1">
        <v>106</v>
      </c>
      <c r="C3" s="1" t="s">
        <v>57</v>
      </c>
      <c r="D3" s="1" t="s">
        <v>61</v>
      </c>
      <c r="E3" s="1" t="s">
        <v>59</v>
      </c>
      <c r="F3" s="1">
        <v>4</v>
      </c>
      <c r="G3" s="1"/>
      <c r="H3" s="1">
        <v>32</v>
      </c>
      <c r="I3" s="1">
        <v>16.82</v>
      </c>
      <c r="J3" s="1">
        <v>28.5</v>
      </c>
      <c r="K3" s="1">
        <v>11.68</v>
      </c>
      <c r="L3" s="1">
        <v>12.22</v>
      </c>
      <c r="M3" s="1">
        <v>33.840000000000003</v>
      </c>
      <c r="N3" s="1">
        <v>21.620000000000005</v>
      </c>
      <c r="O3" s="1">
        <v>18.18</v>
      </c>
      <c r="P3" s="1">
        <v>36</v>
      </c>
      <c r="Q3" s="1">
        <v>17.82</v>
      </c>
      <c r="R3" s="1">
        <v>13.44</v>
      </c>
      <c r="S3" s="1">
        <v>30.6</v>
      </c>
      <c r="T3" s="1">
        <v>17.160000000000004</v>
      </c>
      <c r="U3" s="1">
        <v>8.74</v>
      </c>
      <c r="V3" s="1">
        <v>29.92</v>
      </c>
      <c r="W3" s="1">
        <v>21.18</v>
      </c>
      <c r="X3" s="1">
        <v>10.48</v>
      </c>
      <c r="Y3" s="1">
        <v>32.74</v>
      </c>
      <c r="Z3" s="1">
        <v>22.26</v>
      </c>
      <c r="AA3" s="1"/>
      <c r="AB3" s="1">
        <v>0</v>
      </c>
      <c r="AC3" s="1">
        <v>0</v>
      </c>
      <c r="AD3" s="1">
        <v>0</v>
      </c>
      <c r="AE3" s="1">
        <v>358</v>
      </c>
      <c r="AF3" s="1">
        <v>624</v>
      </c>
      <c r="AG3" s="1" t="s">
        <v>60</v>
      </c>
      <c r="AH3" s="1" t="s">
        <v>60</v>
      </c>
      <c r="AI3" s="1" t="s">
        <v>60</v>
      </c>
      <c r="AJ3" s="1" t="s">
        <v>60</v>
      </c>
      <c r="AK3" s="1" t="s">
        <v>60</v>
      </c>
      <c r="AL3" s="1" t="s">
        <v>60</v>
      </c>
      <c r="AM3" s="1" t="s">
        <v>60</v>
      </c>
      <c r="AN3" s="1" t="s">
        <v>60</v>
      </c>
      <c r="AO3" s="1" t="s">
        <v>60</v>
      </c>
      <c r="AP3" s="1" t="s">
        <v>64</v>
      </c>
      <c r="AQ3" s="1">
        <v>0</v>
      </c>
      <c r="AR3" s="1">
        <v>0</v>
      </c>
      <c r="AS3" s="1">
        <v>0</v>
      </c>
      <c r="AT3" s="1">
        <v>0</v>
      </c>
      <c r="AU3" s="1">
        <v>543</v>
      </c>
      <c r="AV3" s="1" t="s">
        <v>60</v>
      </c>
      <c r="AW3" s="1" t="s">
        <v>60</v>
      </c>
      <c r="AX3" s="1" t="s">
        <v>60</v>
      </c>
      <c r="AY3" s="1" t="s">
        <v>60</v>
      </c>
      <c r="AZ3" s="1" t="s">
        <v>60</v>
      </c>
      <c r="BA3" s="1" t="s">
        <v>60</v>
      </c>
      <c r="BB3" s="1" t="s">
        <v>60</v>
      </c>
      <c r="BC3" s="1" t="s">
        <v>60</v>
      </c>
      <c r="BD3" s="1" t="s">
        <v>60</v>
      </c>
      <c r="BE3" s="1" t="s">
        <v>60</v>
      </c>
      <c r="BF3" s="1">
        <v>28</v>
      </c>
      <c r="BG3" s="1" t="s">
        <v>64</v>
      </c>
      <c r="BH3" s="1">
        <v>0</v>
      </c>
      <c r="BI3" s="1">
        <v>0</v>
      </c>
      <c r="BJ3" s="1">
        <v>13</v>
      </c>
      <c r="BK3" s="1" t="s">
        <v>60</v>
      </c>
      <c r="BL3" s="1" t="s">
        <v>60</v>
      </c>
      <c r="BM3" s="1" t="s">
        <v>60</v>
      </c>
      <c r="BN3" s="1" t="s">
        <v>60</v>
      </c>
      <c r="BO3" s="1" t="s">
        <v>60</v>
      </c>
      <c r="BP3" s="1" t="s">
        <v>60</v>
      </c>
      <c r="BQ3" s="1" t="s">
        <v>60</v>
      </c>
      <c r="BR3" s="1" t="s">
        <v>60</v>
      </c>
      <c r="BS3" s="1" t="s">
        <v>60</v>
      </c>
      <c r="BT3" s="1" t="s">
        <v>60</v>
      </c>
      <c r="BU3" s="1" t="s">
        <v>60</v>
      </c>
      <c r="BV3" s="1">
        <v>147</v>
      </c>
      <c r="BW3" s="1">
        <v>28</v>
      </c>
    </row>
    <row r="4" spans="1:75" x14ac:dyDescent="0.2">
      <c r="A4" s="1">
        <v>3</v>
      </c>
      <c r="B4" s="1">
        <v>126</v>
      </c>
      <c r="C4" s="1" t="s">
        <v>57</v>
      </c>
      <c r="D4" s="1" t="s">
        <v>62</v>
      </c>
      <c r="E4" s="1" t="s">
        <v>59</v>
      </c>
      <c r="F4" s="1">
        <v>1</v>
      </c>
      <c r="G4" s="1"/>
      <c r="H4" s="1">
        <v>8</v>
      </c>
      <c r="I4" s="1">
        <v>11.98</v>
      </c>
      <c r="J4" s="1">
        <v>25.7</v>
      </c>
      <c r="K4" s="1">
        <v>13.719999999999999</v>
      </c>
      <c r="L4" s="1">
        <v>7.9</v>
      </c>
      <c r="M4" s="1">
        <v>17.420000000000002</v>
      </c>
      <c r="N4" s="1">
        <v>9.5200000000000014</v>
      </c>
      <c r="O4" s="1">
        <v>9.6</v>
      </c>
      <c r="P4" s="1">
        <v>18.68</v>
      </c>
      <c r="Q4" s="1">
        <v>9.08</v>
      </c>
      <c r="R4" s="1">
        <v>7.76</v>
      </c>
      <c r="S4" s="1">
        <v>18.62</v>
      </c>
      <c r="T4" s="1">
        <v>10.860000000000001</v>
      </c>
      <c r="U4" s="1">
        <v>12.76</v>
      </c>
      <c r="V4" s="1">
        <v>22</v>
      </c>
      <c r="W4" s="1">
        <v>9.24</v>
      </c>
      <c r="X4" s="1">
        <v>12.46</v>
      </c>
      <c r="Y4" s="1">
        <v>23.52</v>
      </c>
      <c r="Z4" s="1">
        <v>11.059999999999999</v>
      </c>
      <c r="AA4" s="1"/>
      <c r="AB4" s="1">
        <v>0</v>
      </c>
      <c r="AC4" s="1">
        <v>0</v>
      </c>
      <c r="AD4" s="1">
        <v>0</v>
      </c>
      <c r="AE4" s="1">
        <v>373</v>
      </c>
      <c r="AF4" s="1" t="s">
        <v>60</v>
      </c>
      <c r="AG4" s="1" t="s">
        <v>60</v>
      </c>
      <c r="AH4" s="1" t="s">
        <v>60</v>
      </c>
      <c r="AI4" s="1" t="s">
        <v>60</v>
      </c>
      <c r="AJ4" s="1" t="s">
        <v>60</v>
      </c>
      <c r="AK4" s="1" t="s">
        <v>60</v>
      </c>
      <c r="AL4" s="1" t="s">
        <v>60</v>
      </c>
      <c r="AM4" s="1" t="s">
        <v>60</v>
      </c>
      <c r="AN4" s="1">
        <v>443</v>
      </c>
      <c r="AO4" s="1">
        <v>359</v>
      </c>
      <c r="AP4" s="1" t="s">
        <v>64</v>
      </c>
      <c r="AQ4" s="1">
        <v>0</v>
      </c>
      <c r="AR4" s="1">
        <v>0</v>
      </c>
      <c r="AS4" s="1">
        <v>0</v>
      </c>
      <c r="AT4" s="1">
        <v>0</v>
      </c>
      <c r="AU4" s="1">
        <v>393</v>
      </c>
      <c r="AV4" s="1" t="s">
        <v>60</v>
      </c>
      <c r="AW4" s="1" t="s">
        <v>60</v>
      </c>
      <c r="AX4" s="1" t="s">
        <v>60</v>
      </c>
      <c r="AY4" s="1" t="s">
        <v>60</v>
      </c>
      <c r="AZ4" s="1" t="s">
        <v>60</v>
      </c>
      <c r="BA4" s="1" t="s">
        <v>60</v>
      </c>
      <c r="BB4" s="1" t="s">
        <v>60</v>
      </c>
      <c r="BC4" s="1" t="s">
        <v>60</v>
      </c>
      <c r="BD4" s="1" t="s">
        <v>60</v>
      </c>
      <c r="BE4" s="1">
        <v>318</v>
      </c>
      <c r="BF4" s="1">
        <v>4</v>
      </c>
      <c r="BG4" s="1">
        <v>1</v>
      </c>
      <c r="BH4" s="1">
        <v>0</v>
      </c>
      <c r="BI4" s="1">
        <v>2</v>
      </c>
      <c r="BJ4" s="1">
        <v>0</v>
      </c>
      <c r="BK4" s="1">
        <v>423</v>
      </c>
      <c r="BL4" s="1" t="s">
        <v>60</v>
      </c>
      <c r="BM4" s="1" t="s">
        <v>60</v>
      </c>
      <c r="BN4" s="1" t="s">
        <v>60</v>
      </c>
      <c r="BO4" s="1" t="s">
        <v>60</v>
      </c>
      <c r="BP4" s="1" t="s">
        <v>60</v>
      </c>
      <c r="BQ4" s="1" t="s">
        <v>60</v>
      </c>
      <c r="BR4" s="1" t="s">
        <v>60</v>
      </c>
      <c r="BS4" s="1" t="s">
        <v>60</v>
      </c>
      <c r="BT4" s="1" t="s">
        <v>60</v>
      </c>
      <c r="BU4" s="1" t="s">
        <v>60</v>
      </c>
      <c r="BV4" s="1">
        <v>35</v>
      </c>
      <c r="BW4" s="1">
        <v>2</v>
      </c>
    </row>
    <row r="5" spans="1:75" x14ac:dyDescent="0.2">
      <c r="A5" s="1">
        <v>4</v>
      </c>
      <c r="B5" s="1">
        <v>128</v>
      </c>
      <c r="C5" s="1" t="s">
        <v>57</v>
      </c>
      <c r="D5" s="1" t="s">
        <v>63</v>
      </c>
      <c r="E5" s="1" t="s">
        <v>59</v>
      </c>
      <c r="F5" s="1"/>
      <c r="G5" s="1">
        <v>2</v>
      </c>
      <c r="H5" s="1">
        <v>16</v>
      </c>
      <c r="I5" s="1">
        <v>15.02</v>
      </c>
      <c r="J5" s="1">
        <v>27.5</v>
      </c>
      <c r="K5" s="1">
        <v>12.48</v>
      </c>
      <c r="L5" s="1">
        <v>21.38</v>
      </c>
      <c r="M5" s="1">
        <v>29.38</v>
      </c>
      <c r="N5" s="1">
        <v>8</v>
      </c>
      <c r="O5" s="1">
        <v>15.7</v>
      </c>
      <c r="P5" s="1">
        <v>26.2</v>
      </c>
      <c r="Q5" s="1">
        <v>10.5</v>
      </c>
      <c r="R5" s="1">
        <v>11.96</v>
      </c>
      <c r="S5" s="1">
        <v>26.08</v>
      </c>
      <c r="T5" s="1">
        <v>14.119999999999997</v>
      </c>
      <c r="U5" s="1">
        <v>20.9</v>
      </c>
      <c r="V5" s="1">
        <v>32.54</v>
      </c>
      <c r="W5" s="1">
        <v>11.64</v>
      </c>
      <c r="X5" s="1">
        <v>20.88</v>
      </c>
      <c r="Y5" s="1">
        <v>29.36</v>
      </c>
      <c r="Z5" s="1">
        <v>8.48</v>
      </c>
      <c r="AA5" s="1"/>
      <c r="AB5" s="1">
        <v>0</v>
      </c>
      <c r="AC5" s="1">
        <v>0</v>
      </c>
      <c r="AD5" s="1">
        <v>0</v>
      </c>
      <c r="AE5" s="1" t="s">
        <v>64</v>
      </c>
      <c r="AF5" s="1">
        <v>637</v>
      </c>
      <c r="AG5" s="1" t="s">
        <v>60</v>
      </c>
      <c r="AH5" s="1" t="s">
        <v>60</v>
      </c>
      <c r="AI5" s="1" t="s">
        <v>60</v>
      </c>
      <c r="AJ5" s="1" t="s">
        <v>60</v>
      </c>
      <c r="AK5" s="1" t="s">
        <v>60</v>
      </c>
      <c r="AL5" s="1" t="s">
        <v>60</v>
      </c>
      <c r="AM5" s="1">
        <v>497</v>
      </c>
      <c r="AN5" s="1">
        <v>54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22</v>
      </c>
      <c r="AV5" s="1">
        <v>640</v>
      </c>
      <c r="AW5" s="1" t="s">
        <v>60</v>
      </c>
      <c r="AX5" s="1" t="s">
        <v>60</v>
      </c>
      <c r="AY5" s="1" t="s">
        <v>60</v>
      </c>
      <c r="AZ5" s="1" t="s">
        <v>60</v>
      </c>
      <c r="BA5" s="1" t="s">
        <v>60</v>
      </c>
      <c r="BB5" s="1" t="s">
        <v>60</v>
      </c>
      <c r="BC5" s="1" t="s">
        <v>60</v>
      </c>
      <c r="BD5" s="1">
        <v>86</v>
      </c>
      <c r="BE5" s="1">
        <v>11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32</v>
      </c>
      <c r="BL5" s="1" t="s">
        <v>60</v>
      </c>
      <c r="BM5" s="1" t="s">
        <v>60</v>
      </c>
      <c r="BN5" s="1" t="s">
        <v>60</v>
      </c>
      <c r="BO5" s="1" t="s">
        <v>60</v>
      </c>
      <c r="BP5" s="1" t="s">
        <v>60</v>
      </c>
      <c r="BQ5" s="1" t="s">
        <v>60</v>
      </c>
      <c r="BR5" s="1" t="s">
        <v>60</v>
      </c>
      <c r="BS5" s="1" t="s">
        <v>60</v>
      </c>
      <c r="BT5" s="1">
        <v>86</v>
      </c>
      <c r="BU5" s="1">
        <v>27</v>
      </c>
      <c r="BV5" s="1">
        <v>0</v>
      </c>
      <c r="BW5" s="1">
        <v>0</v>
      </c>
    </row>
    <row r="6" spans="1:75" x14ac:dyDescent="0.2">
      <c r="A6" s="1">
        <v>5</v>
      </c>
      <c r="B6" s="1">
        <v>147</v>
      </c>
      <c r="C6" s="1" t="s">
        <v>65</v>
      </c>
      <c r="D6" s="1" t="s">
        <v>66</v>
      </c>
      <c r="E6" s="1" t="s">
        <v>59</v>
      </c>
      <c r="F6" s="1">
        <v>4</v>
      </c>
      <c r="G6" s="1"/>
      <c r="H6" s="1">
        <v>32</v>
      </c>
      <c r="I6" s="1">
        <v>20</v>
      </c>
      <c r="J6" s="1">
        <v>21.18</v>
      </c>
      <c r="K6" s="1">
        <v>1.1799999999999997</v>
      </c>
      <c r="L6" s="1">
        <v>13.78</v>
      </c>
      <c r="M6" s="1">
        <v>18.04</v>
      </c>
      <c r="N6" s="1">
        <v>4.26</v>
      </c>
      <c r="O6" s="1">
        <v>11.36</v>
      </c>
      <c r="P6" s="1">
        <v>14.76</v>
      </c>
      <c r="Q6" s="1">
        <v>3.4000000000000004</v>
      </c>
      <c r="R6" s="1">
        <v>15.08</v>
      </c>
      <c r="S6" s="1">
        <v>18.739999999999998</v>
      </c>
      <c r="T6" s="1">
        <v>3.6599999999999984</v>
      </c>
      <c r="U6" s="1">
        <v>14.32</v>
      </c>
      <c r="V6" s="1">
        <v>18.82</v>
      </c>
      <c r="W6" s="1">
        <v>4.5</v>
      </c>
      <c r="X6" s="1">
        <v>10.8</v>
      </c>
      <c r="Y6" s="1">
        <v>15.78</v>
      </c>
      <c r="Z6" s="1">
        <v>4.9799999999999986</v>
      </c>
      <c r="AA6" s="1"/>
      <c r="AB6" s="1">
        <v>0</v>
      </c>
      <c r="AC6" s="1">
        <v>0</v>
      </c>
      <c r="AD6" s="1">
        <v>0</v>
      </c>
      <c r="AE6" s="1">
        <v>708</v>
      </c>
      <c r="AF6" s="1" t="s">
        <v>60</v>
      </c>
      <c r="AG6" s="1" t="s">
        <v>60</v>
      </c>
      <c r="AH6" s="1" t="s">
        <v>60</v>
      </c>
      <c r="AI6" s="1" t="s">
        <v>60</v>
      </c>
      <c r="AJ6" s="1" t="s">
        <v>60</v>
      </c>
      <c r="AK6" s="1" t="s">
        <v>60</v>
      </c>
      <c r="AL6" s="1" t="s">
        <v>60</v>
      </c>
      <c r="AM6" s="1" t="s">
        <v>60</v>
      </c>
      <c r="AN6" s="1" t="s">
        <v>60</v>
      </c>
      <c r="AO6" s="1">
        <v>551</v>
      </c>
      <c r="AP6" s="1" t="s">
        <v>64</v>
      </c>
      <c r="AQ6" s="1">
        <v>0</v>
      </c>
      <c r="AR6" s="1">
        <v>0</v>
      </c>
      <c r="AS6" s="1">
        <v>0</v>
      </c>
      <c r="AT6" s="1" t="s">
        <v>64</v>
      </c>
      <c r="AU6" s="1" t="s">
        <v>60</v>
      </c>
      <c r="AV6" s="1" t="s">
        <v>60</v>
      </c>
      <c r="AW6" s="1" t="s">
        <v>60</v>
      </c>
      <c r="AX6" s="1" t="s">
        <v>60</v>
      </c>
      <c r="AY6" s="1" t="s">
        <v>60</v>
      </c>
      <c r="AZ6" s="1" t="s">
        <v>60</v>
      </c>
      <c r="BA6" s="1" t="s">
        <v>60</v>
      </c>
      <c r="BB6" s="1" t="s">
        <v>60</v>
      </c>
      <c r="BC6" s="1" t="s">
        <v>60</v>
      </c>
      <c r="BD6" s="1" t="s">
        <v>60</v>
      </c>
      <c r="BE6" s="1" t="s">
        <v>60</v>
      </c>
      <c r="BF6" s="1">
        <v>230</v>
      </c>
      <c r="BG6" s="1" t="s">
        <v>64</v>
      </c>
      <c r="BH6" s="1">
        <v>0</v>
      </c>
      <c r="BI6" s="1">
        <v>0</v>
      </c>
      <c r="BJ6" s="1">
        <v>11</v>
      </c>
      <c r="BK6" s="1" t="s">
        <v>60</v>
      </c>
      <c r="BL6" s="1" t="s">
        <v>60</v>
      </c>
      <c r="BM6" s="1" t="s">
        <v>60</v>
      </c>
      <c r="BN6" s="1" t="s">
        <v>60</v>
      </c>
      <c r="BO6" s="1" t="s">
        <v>60</v>
      </c>
      <c r="BP6" s="1" t="s">
        <v>60</v>
      </c>
      <c r="BQ6" s="1" t="s">
        <v>60</v>
      </c>
      <c r="BR6" s="1" t="s">
        <v>60</v>
      </c>
      <c r="BS6" s="1" t="s">
        <v>60</v>
      </c>
      <c r="BT6" s="1" t="s">
        <v>60</v>
      </c>
      <c r="BU6" s="1" t="s">
        <v>60</v>
      </c>
      <c r="BV6" s="1">
        <v>230</v>
      </c>
      <c r="BW6" s="1">
        <v>20</v>
      </c>
    </row>
    <row r="7" spans="1:75" x14ac:dyDescent="0.2">
      <c r="A7" s="1">
        <v>6</v>
      </c>
      <c r="B7" s="1">
        <v>150</v>
      </c>
      <c r="C7" s="1" t="s">
        <v>65</v>
      </c>
      <c r="D7" s="1" t="s">
        <v>67</v>
      </c>
      <c r="E7" s="1" t="s">
        <v>59</v>
      </c>
      <c r="F7" s="1">
        <v>1</v>
      </c>
      <c r="G7" s="1"/>
      <c r="H7" s="1">
        <v>8</v>
      </c>
      <c r="I7" s="1">
        <v>24.84</v>
      </c>
      <c r="J7" s="1">
        <v>26</v>
      </c>
      <c r="K7" s="1">
        <v>1.1600000000000001</v>
      </c>
      <c r="L7" s="1">
        <v>19.72</v>
      </c>
      <c r="M7" s="1">
        <v>22.06</v>
      </c>
      <c r="N7" s="1">
        <v>2.34</v>
      </c>
      <c r="O7" s="1">
        <v>17.88</v>
      </c>
      <c r="P7" s="1">
        <v>21.72</v>
      </c>
      <c r="Q7" s="1">
        <v>3.84</v>
      </c>
      <c r="R7" s="1">
        <v>17.260000000000002</v>
      </c>
      <c r="S7" s="1">
        <v>23.64</v>
      </c>
      <c r="T7" s="1">
        <v>6.379999999999999</v>
      </c>
      <c r="U7" s="1">
        <v>13.92</v>
      </c>
      <c r="V7" s="1">
        <v>22.96</v>
      </c>
      <c r="W7" s="1">
        <v>9.0400000000000009</v>
      </c>
      <c r="X7" s="1">
        <v>17.62</v>
      </c>
      <c r="Y7" s="1">
        <v>24.92</v>
      </c>
      <c r="Z7" s="1">
        <v>7.3000000000000007</v>
      </c>
      <c r="AA7" s="1"/>
      <c r="AB7" s="1">
        <v>0</v>
      </c>
      <c r="AC7" s="1">
        <v>0</v>
      </c>
      <c r="AD7" s="1">
        <v>0</v>
      </c>
      <c r="AE7" s="1" t="s">
        <v>64</v>
      </c>
      <c r="AF7" s="1" t="s">
        <v>60</v>
      </c>
      <c r="AG7" s="1" t="s">
        <v>60</v>
      </c>
      <c r="AH7" s="1" t="s">
        <v>60</v>
      </c>
      <c r="AI7" s="1" t="s">
        <v>60</v>
      </c>
      <c r="AJ7" s="1" t="s">
        <v>60</v>
      </c>
      <c r="AK7" s="1" t="s">
        <v>60</v>
      </c>
      <c r="AL7" s="1" t="s">
        <v>60</v>
      </c>
      <c r="AM7" s="1" t="s">
        <v>60</v>
      </c>
      <c r="AN7" s="1">
        <v>454</v>
      </c>
      <c r="AO7" s="1" t="s">
        <v>64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276</v>
      </c>
      <c r="AV7" s="1" t="s">
        <v>60</v>
      </c>
      <c r="AW7" s="1" t="s">
        <v>60</v>
      </c>
      <c r="AX7" s="1" t="s">
        <v>60</v>
      </c>
      <c r="AY7" s="1" t="s">
        <v>60</v>
      </c>
      <c r="AZ7" s="1" t="s">
        <v>60</v>
      </c>
      <c r="BA7" s="1" t="s">
        <v>60</v>
      </c>
      <c r="BB7" s="1" t="s">
        <v>60</v>
      </c>
      <c r="BC7" s="1" t="s">
        <v>60</v>
      </c>
      <c r="BD7" s="1" t="s">
        <v>60</v>
      </c>
      <c r="BE7" s="1">
        <v>517</v>
      </c>
      <c r="BF7" s="1">
        <v>5</v>
      </c>
      <c r="BG7" s="1">
        <v>0</v>
      </c>
      <c r="BH7" s="1">
        <v>0</v>
      </c>
      <c r="BI7" s="1">
        <v>0</v>
      </c>
      <c r="BJ7" s="1">
        <v>0</v>
      </c>
      <c r="BK7" s="1">
        <v>283</v>
      </c>
      <c r="BL7" s="1" t="s">
        <v>60</v>
      </c>
      <c r="BM7" s="1" t="s">
        <v>60</v>
      </c>
      <c r="BN7" s="1" t="s">
        <v>60</v>
      </c>
      <c r="BO7" s="1" t="s">
        <v>60</v>
      </c>
      <c r="BP7" s="1" t="s">
        <v>60</v>
      </c>
      <c r="BQ7" s="1" t="s">
        <v>60</v>
      </c>
      <c r="BR7" s="1" t="s">
        <v>60</v>
      </c>
      <c r="BS7" s="1" t="s">
        <v>60</v>
      </c>
      <c r="BT7" s="1" t="s">
        <v>60</v>
      </c>
      <c r="BU7" s="1">
        <v>517</v>
      </c>
      <c r="BV7" s="1">
        <v>6</v>
      </c>
      <c r="BW7" s="1">
        <v>1</v>
      </c>
    </row>
    <row r="8" spans="1:75" x14ac:dyDescent="0.2">
      <c r="A8" s="1">
        <v>7</v>
      </c>
      <c r="B8" s="1">
        <v>160</v>
      </c>
      <c r="C8" s="1" t="s">
        <v>57</v>
      </c>
      <c r="D8" s="1" t="s">
        <v>68</v>
      </c>
      <c r="E8" s="1" t="s">
        <v>59</v>
      </c>
      <c r="F8" s="1">
        <v>2</v>
      </c>
      <c r="G8" s="1"/>
      <c r="H8" s="1">
        <v>16</v>
      </c>
      <c r="I8" s="1">
        <v>12.64</v>
      </c>
      <c r="J8" s="1">
        <v>32.380000000000003</v>
      </c>
      <c r="K8" s="1">
        <v>19.740000000000002</v>
      </c>
      <c r="L8" s="1">
        <v>10</v>
      </c>
      <c r="M8" s="1">
        <v>29.9</v>
      </c>
      <c r="N8" s="1">
        <v>19.899999999999999</v>
      </c>
      <c r="O8" s="1">
        <v>6.84</v>
      </c>
      <c r="P8" s="1">
        <v>28.78</v>
      </c>
      <c r="Q8" s="1">
        <v>21.94</v>
      </c>
      <c r="R8" s="1">
        <v>8.4</v>
      </c>
      <c r="S8" s="1">
        <v>28.04</v>
      </c>
      <c r="T8" s="1">
        <v>19.64</v>
      </c>
      <c r="U8" s="1">
        <v>19.34</v>
      </c>
      <c r="V8" s="1">
        <v>29.42</v>
      </c>
      <c r="W8" s="1">
        <v>10.080000000000002</v>
      </c>
      <c r="X8" s="1">
        <v>14</v>
      </c>
      <c r="Y8" s="1">
        <v>29.3</v>
      </c>
      <c r="Z8" s="1">
        <v>15.3</v>
      </c>
      <c r="AA8" s="1"/>
      <c r="AB8" s="1">
        <v>0</v>
      </c>
      <c r="AC8" s="1">
        <v>0</v>
      </c>
      <c r="AD8" s="1">
        <v>0</v>
      </c>
      <c r="AE8" s="1" t="s">
        <v>64</v>
      </c>
      <c r="AF8" s="1">
        <v>739</v>
      </c>
      <c r="AG8" s="1" t="s">
        <v>60</v>
      </c>
      <c r="AH8" s="1" t="s">
        <v>60</v>
      </c>
      <c r="AI8" s="1" t="s">
        <v>60</v>
      </c>
      <c r="AJ8" s="1" t="s">
        <v>60</v>
      </c>
      <c r="AK8" s="1" t="s">
        <v>60</v>
      </c>
      <c r="AL8" s="1" t="s">
        <v>60</v>
      </c>
      <c r="AM8" s="1">
        <v>332</v>
      </c>
      <c r="AN8" s="1" t="s">
        <v>64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3</v>
      </c>
      <c r="AV8" s="1" t="s">
        <v>60</v>
      </c>
      <c r="AW8" s="1" t="s">
        <v>60</v>
      </c>
      <c r="AX8" s="1" t="s">
        <v>60</v>
      </c>
      <c r="AY8" s="1" t="s">
        <v>60</v>
      </c>
      <c r="AZ8" s="1" t="s">
        <v>60</v>
      </c>
      <c r="BA8" s="1" t="s">
        <v>60</v>
      </c>
      <c r="BB8" s="1" t="s">
        <v>60</v>
      </c>
      <c r="BC8" s="1" t="s">
        <v>60</v>
      </c>
      <c r="BD8" s="1">
        <v>273</v>
      </c>
      <c r="BE8" s="1">
        <v>4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61</v>
      </c>
      <c r="BL8" s="1" t="s">
        <v>60</v>
      </c>
      <c r="BM8" s="1" t="s">
        <v>60</v>
      </c>
      <c r="BN8" s="1" t="s">
        <v>60</v>
      </c>
      <c r="BO8" s="1" t="s">
        <v>60</v>
      </c>
      <c r="BP8" s="1" t="s">
        <v>60</v>
      </c>
      <c r="BQ8" s="1" t="s">
        <v>60</v>
      </c>
      <c r="BR8" s="1" t="s">
        <v>60</v>
      </c>
      <c r="BS8" s="1" t="s">
        <v>60</v>
      </c>
      <c r="BT8" s="1">
        <v>402</v>
      </c>
      <c r="BU8" s="1">
        <v>61</v>
      </c>
      <c r="BV8" s="1">
        <v>0</v>
      </c>
      <c r="BW8" s="1">
        <v>0</v>
      </c>
    </row>
    <row r="9" spans="1:75" x14ac:dyDescent="0.2">
      <c r="A9" s="1">
        <v>8</v>
      </c>
      <c r="B9" s="1">
        <v>162</v>
      </c>
      <c r="C9" s="1" t="s">
        <v>57</v>
      </c>
      <c r="D9" s="1" t="s">
        <v>69</v>
      </c>
      <c r="E9" s="1" t="s">
        <v>59</v>
      </c>
      <c r="F9" s="1">
        <v>4</v>
      </c>
      <c r="G9" s="1"/>
      <c r="H9" s="1">
        <v>32</v>
      </c>
      <c r="I9" s="1">
        <v>8.6</v>
      </c>
      <c r="J9" s="1">
        <v>20.6</v>
      </c>
      <c r="K9" s="1">
        <v>12.000000000000002</v>
      </c>
      <c r="L9" s="1">
        <v>8.06</v>
      </c>
      <c r="M9" s="1">
        <v>18</v>
      </c>
      <c r="N9" s="1">
        <v>9.94</v>
      </c>
      <c r="O9" s="1">
        <v>8.8000000000000007</v>
      </c>
      <c r="P9" s="1">
        <v>18.28</v>
      </c>
      <c r="Q9" s="1">
        <v>9.48</v>
      </c>
      <c r="R9" s="1">
        <v>8.1999999999999993</v>
      </c>
      <c r="S9" s="1">
        <v>18.5</v>
      </c>
      <c r="T9" s="1">
        <v>10.3</v>
      </c>
      <c r="U9" s="1">
        <v>13.6</v>
      </c>
      <c r="V9" s="1">
        <v>23.82</v>
      </c>
      <c r="W9" s="1">
        <v>10.220000000000001</v>
      </c>
      <c r="X9" s="1">
        <v>9.8000000000000007</v>
      </c>
      <c r="Y9" s="1">
        <v>21.66</v>
      </c>
      <c r="Z9" s="1">
        <v>11.86</v>
      </c>
      <c r="AA9" s="1"/>
      <c r="AB9" s="1">
        <v>0</v>
      </c>
      <c r="AC9" s="1">
        <v>0</v>
      </c>
      <c r="AD9" s="1">
        <v>1</v>
      </c>
      <c r="AE9" s="1">
        <v>352</v>
      </c>
      <c r="AF9" s="1" t="s">
        <v>60</v>
      </c>
      <c r="AG9" s="1" t="s">
        <v>60</v>
      </c>
      <c r="AH9" s="1" t="s">
        <v>60</v>
      </c>
      <c r="AI9" s="1" t="s">
        <v>60</v>
      </c>
      <c r="AJ9" s="1" t="s">
        <v>60</v>
      </c>
      <c r="AK9" s="1" t="s">
        <v>60</v>
      </c>
      <c r="AL9" s="1" t="s">
        <v>60</v>
      </c>
      <c r="AM9" s="1" t="s">
        <v>60</v>
      </c>
      <c r="AN9" s="1">
        <v>382</v>
      </c>
      <c r="AO9" s="1">
        <v>53</v>
      </c>
      <c r="AP9" s="1" t="s">
        <v>64</v>
      </c>
      <c r="AQ9" s="1">
        <v>0</v>
      </c>
      <c r="AR9" s="1">
        <v>0</v>
      </c>
      <c r="AS9" s="1">
        <v>0</v>
      </c>
      <c r="AT9" s="1">
        <v>1</v>
      </c>
      <c r="AU9" s="1">
        <v>283</v>
      </c>
      <c r="AV9" s="1" t="s">
        <v>60</v>
      </c>
      <c r="AW9" s="1" t="s">
        <v>60</v>
      </c>
      <c r="AX9" s="1" t="s">
        <v>60</v>
      </c>
      <c r="AY9" s="1" t="s">
        <v>60</v>
      </c>
      <c r="AZ9" s="1" t="s">
        <v>60</v>
      </c>
      <c r="BA9" s="1" t="s">
        <v>60</v>
      </c>
      <c r="BB9" s="1" t="s">
        <v>60</v>
      </c>
      <c r="BC9" s="1" t="s">
        <v>60</v>
      </c>
      <c r="BD9" s="1" t="s">
        <v>60</v>
      </c>
      <c r="BE9" s="1">
        <v>172</v>
      </c>
      <c r="BF9" s="1">
        <v>12</v>
      </c>
      <c r="BG9" s="1">
        <v>1</v>
      </c>
      <c r="BH9" s="1">
        <v>0</v>
      </c>
      <c r="BI9" s="1">
        <v>0</v>
      </c>
      <c r="BJ9" s="1">
        <v>3</v>
      </c>
      <c r="BK9" s="1">
        <v>410</v>
      </c>
      <c r="BL9" s="1" t="s">
        <v>60</v>
      </c>
      <c r="BM9" s="1" t="s">
        <v>60</v>
      </c>
      <c r="BN9" s="1" t="s">
        <v>60</v>
      </c>
      <c r="BO9" s="1" t="s">
        <v>60</v>
      </c>
      <c r="BP9" s="1" t="s">
        <v>60</v>
      </c>
      <c r="BQ9" s="1" t="s">
        <v>60</v>
      </c>
      <c r="BR9" s="1" t="s">
        <v>60</v>
      </c>
      <c r="BS9" s="1" t="s">
        <v>60</v>
      </c>
      <c r="BT9" s="1" t="s">
        <v>60</v>
      </c>
      <c r="BU9" s="1">
        <v>232</v>
      </c>
      <c r="BV9" s="1">
        <v>12</v>
      </c>
      <c r="BW9" s="1">
        <v>2</v>
      </c>
    </row>
    <row r="10" spans="1:75" x14ac:dyDescent="0.2">
      <c r="A10" s="1">
        <v>9</v>
      </c>
      <c r="B10" s="1">
        <v>169</v>
      </c>
      <c r="C10" s="1" t="s">
        <v>65</v>
      </c>
      <c r="D10" s="1" t="s">
        <v>70</v>
      </c>
      <c r="E10" s="1" t="s">
        <v>59</v>
      </c>
      <c r="F10" s="1">
        <v>4</v>
      </c>
      <c r="G10" s="1"/>
      <c r="H10" s="1">
        <v>32</v>
      </c>
      <c r="I10" s="1">
        <v>27.58</v>
      </c>
      <c r="J10" s="1">
        <v>28.28</v>
      </c>
      <c r="K10" s="1">
        <v>0.70000000000000284</v>
      </c>
      <c r="L10" s="1">
        <v>16.48</v>
      </c>
      <c r="M10" s="1">
        <v>21.62</v>
      </c>
      <c r="N10" s="1">
        <v>5.1400000000000006</v>
      </c>
      <c r="O10" s="1">
        <v>17.96</v>
      </c>
      <c r="P10" s="1">
        <v>21.48</v>
      </c>
      <c r="Q10" s="1">
        <v>3.5199999999999996</v>
      </c>
      <c r="R10" s="1">
        <v>19.48</v>
      </c>
      <c r="S10" s="1">
        <v>23.2</v>
      </c>
      <c r="T10" s="1">
        <v>3.7199999999999989</v>
      </c>
      <c r="U10" s="1">
        <v>15.1</v>
      </c>
      <c r="V10" s="1">
        <v>23.92</v>
      </c>
      <c r="W10" s="1">
        <v>8.8200000000000021</v>
      </c>
      <c r="X10" s="1">
        <v>13.94</v>
      </c>
      <c r="Y10" s="1">
        <v>23.4</v>
      </c>
      <c r="Z10" s="1">
        <v>9.4599999999999991</v>
      </c>
      <c r="AA10" s="1"/>
      <c r="AB10" s="1">
        <v>0</v>
      </c>
      <c r="AC10" s="1">
        <v>0</v>
      </c>
      <c r="AD10" s="1">
        <v>0</v>
      </c>
      <c r="AE10" s="1" t="s">
        <v>64</v>
      </c>
      <c r="AF10" s="1" t="s">
        <v>60</v>
      </c>
      <c r="AG10" s="1" t="s">
        <v>60</v>
      </c>
      <c r="AH10" s="1" t="s">
        <v>60</v>
      </c>
      <c r="AI10" s="1" t="s">
        <v>60</v>
      </c>
      <c r="AJ10" s="1" t="s">
        <v>60</v>
      </c>
      <c r="AK10" s="1" t="s">
        <v>60</v>
      </c>
      <c r="AL10" s="1" t="s">
        <v>60</v>
      </c>
      <c r="AM10" s="1" t="s">
        <v>60</v>
      </c>
      <c r="AN10" s="1">
        <v>10</v>
      </c>
      <c r="AO10" s="1">
        <v>2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63</v>
      </c>
      <c r="AV10" s="1" t="s">
        <v>60</v>
      </c>
      <c r="AW10" s="1" t="s">
        <v>60</v>
      </c>
      <c r="AX10" s="1" t="s">
        <v>60</v>
      </c>
      <c r="AY10" s="1" t="s">
        <v>60</v>
      </c>
      <c r="AZ10" s="1" t="s">
        <v>60</v>
      </c>
      <c r="BA10" s="1" t="s">
        <v>60</v>
      </c>
      <c r="BB10" s="1" t="s">
        <v>60</v>
      </c>
      <c r="BC10" s="1" t="s">
        <v>60</v>
      </c>
      <c r="BD10" s="1" t="s">
        <v>60</v>
      </c>
      <c r="BE10" s="1">
        <v>162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240</v>
      </c>
      <c r="BL10" s="1" t="s">
        <v>60</v>
      </c>
      <c r="BM10" s="1" t="s">
        <v>60</v>
      </c>
      <c r="BN10" s="1" t="s">
        <v>60</v>
      </c>
      <c r="BO10" s="1" t="s">
        <v>60</v>
      </c>
      <c r="BP10" s="1" t="s">
        <v>60</v>
      </c>
      <c r="BQ10" s="1" t="s">
        <v>60</v>
      </c>
      <c r="BR10" s="1" t="s">
        <v>60</v>
      </c>
      <c r="BS10" s="1" t="s">
        <v>60</v>
      </c>
      <c r="BT10" s="1" t="s">
        <v>60</v>
      </c>
      <c r="BU10" s="1">
        <v>162</v>
      </c>
      <c r="BV10" s="1">
        <v>0</v>
      </c>
      <c r="BW10" s="1">
        <v>0</v>
      </c>
    </row>
    <row r="11" spans="1:75" x14ac:dyDescent="0.2">
      <c r="A11" s="1">
        <v>10</v>
      </c>
      <c r="B11" s="1">
        <v>174</v>
      </c>
      <c r="C11" s="1" t="s">
        <v>65</v>
      </c>
      <c r="D11" s="1" t="s">
        <v>71</v>
      </c>
      <c r="E11" s="1" t="s">
        <v>59</v>
      </c>
      <c r="F11" s="1">
        <v>1</v>
      </c>
      <c r="G11" s="1"/>
      <c r="H11" s="1">
        <v>8</v>
      </c>
      <c r="I11" s="1">
        <v>27.66</v>
      </c>
      <c r="J11" s="1">
        <v>29.22</v>
      </c>
      <c r="K11" s="1">
        <v>1.5599999999999987</v>
      </c>
      <c r="L11" s="1">
        <v>19.88</v>
      </c>
      <c r="M11" s="1">
        <v>23.52</v>
      </c>
      <c r="N11" s="1">
        <v>3.6400000000000006</v>
      </c>
      <c r="O11" s="1">
        <v>17.22</v>
      </c>
      <c r="P11" s="1">
        <v>22.26</v>
      </c>
      <c r="Q11" s="1">
        <v>5.0400000000000027</v>
      </c>
      <c r="R11" s="1">
        <v>18.02</v>
      </c>
      <c r="S11" s="1">
        <v>22.46</v>
      </c>
      <c r="T11" s="1">
        <v>4.4400000000000013</v>
      </c>
      <c r="U11" s="1">
        <v>14.92</v>
      </c>
      <c r="V11" s="1">
        <v>24.26</v>
      </c>
      <c r="W11" s="1">
        <v>9.3400000000000016</v>
      </c>
      <c r="X11" s="1">
        <v>21.46</v>
      </c>
      <c r="Y11" s="1">
        <v>26.24</v>
      </c>
      <c r="Z11" s="1">
        <v>4.7799999999999976</v>
      </c>
      <c r="AA11" s="1"/>
      <c r="AB11" s="1">
        <v>0</v>
      </c>
      <c r="AC11" s="1">
        <v>0</v>
      </c>
      <c r="AD11" s="1">
        <v>0</v>
      </c>
      <c r="AE11" s="1">
        <v>0</v>
      </c>
      <c r="AF11" s="1">
        <v>378</v>
      </c>
      <c r="AG11" s="1" t="s">
        <v>60</v>
      </c>
      <c r="AH11" s="1" t="s">
        <v>60</v>
      </c>
      <c r="AI11" s="1" t="s">
        <v>60</v>
      </c>
      <c r="AJ11" s="1" t="s">
        <v>60</v>
      </c>
      <c r="AK11" s="1" t="s">
        <v>60</v>
      </c>
      <c r="AL11" s="1" t="s">
        <v>60</v>
      </c>
      <c r="AM11" s="1">
        <v>340</v>
      </c>
      <c r="AN11" s="1" t="s">
        <v>64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 t="s">
        <v>64</v>
      </c>
      <c r="AV11" s="1" t="s">
        <v>60</v>
      </c>
      <c r="AW11" s="1" t="s">
        <v>60</v>
      </c>
      <c r="AX11" s="1" t="s">
        <v>60</v>
      </c>
      <c r="AY11" s="1" t="s">
        <v>60</v>
      </c>
      <c r="AZ11" s="1" t="s">
        <v>60</v>
      </c>
      <c r="BA11" s="1" t="s">
        <v>60</v>
      </c>
      <c r="BB11" s="1" t="s">
        <v>60</v>
      </c>
      <c r="BC11" s="1" t="s">
        <v>60</v>
      </c>
      <c r="BD11" s="1">
        <v>109</v>
      </c>
      <c r="BE11" s="1">
        <v>12</v>
      </c>
      <c r="BF11" s="1">
        <v>1</v>
      </c>
      <c r="BG11" s="1">
        <v>0</v>
      </c>
      <c r="BH11" s="1">
        <v>0</v>
      </c>
      <c r="BI11" s="1">
        <v>0</v>
      </c>
      <c r="BJ11" s="1">
        <v>0</v>
      </c>
      <c r="BK11" s="1">
        <v>15</v>
      </c>
      <c r="BL11" s="1" t="s">
        <v>60</v>
      </c>
      <c r="BM11" s="1" t="s">
        <v>60</v>
      </c>
      <c r="BN11" s="1" t="s">
        <v>60</v>
      </c>
      <c r="BO11" s="1" t="s">
        <v>60</v>
      </c>
      <c r="BP11" s="1" t="s">
        <v>60</v>
      </c>
      <c r="BQ11" s="1" t="s">
        <v>60</v>
      </c>
      <c r="BR11" s="1" t="s">
        <v>60</v>
      </c>
      <c r="BS11" s="1" t="s">
        <v>60</v>
      </c>
      <c r="BT11" s="1">
        <v>115</v>
      </c>
      <c r="BU11" s="1">
        <v>18</v>
      </c>
      <c r="BV11" s="1">
        <v>3</v>
      </c>
      <c r="BW11" s="1">
        <v>0</v>
      </c>
    </row>
    <row r="12" spans="1:75" s="7" customFormat="1" x14ac:dyDescent="0.2">
      <c r="A12" s="1">
        <v>11</v>
      </c>
      <c r="B12" s="1">
        <v>196</v>
      </c>
      <c r="C12" s="1" t="s">
        <v>72</v>
      </c>
      <c r="D12" s="1" t="s">
        <v>73</v>
      </c>
      <c r="E12" s="1" t="s">
        <v>59</v>
      </c>
      <c r="F12" s="1">
        <v>4</v>
      </c>
      <c r="G12" s="1"/>
      <c r="H12" s="1">
        <v>32</v>
      </c>
      <c r="I12" s="1">
        <v>6</v>
      </c>
      <c r="J12" s="1">
        <v>6</v>
      </c>
      <c r="K12" s="1">
        <v>0</v>
      </c>
      <c r="L12" s="1">
        <v>6</v>
      </c>
      <c r="M12" s="1">
        <v>6</v>
      </c>
      <c r="N12" s="1">
        <v>0</v>
      </c>
      <c r="O12" s="1">
        <v>6</v>
      </c>
      <c r="P12" s="1">
        <v>6</v>
      </c>
      <c r="Q12" s="1">
        <v>0</v>
      </c>
      <c r="R12" s="1">
        <v>6</v>
      </c>
      <c r="S12" s="1">
        <v>6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/>
      <c r="AB12" s="1">
        <v>0</v>
      </c>
      <c r="AC12" s="1" t="s">
        <v>60</v>
      </c>
      <c r="AD12" s="1" t="s">
        <v>60</v>
      </c>
      <c r="AE12" s="1" t="s">
        <v>60</v>
      </c>
      <c r="AF12" s="1" t="s">
        <v>60</v>
      </c>
      <c r="AG12" s="1" t="s">
        <v>60</v>
      </c>
      <c r="AH12" s="1" t="s">
        <v>60</v>
      </c>
      <c r="AI12" s="1" t="s">
        <v>60</v>
      </c>
      <c r="AJ12" s="1" t="s">
        <v>60</v>
      </c>
      <c r="AK12" s="1" t="s">
        <v>60</v>
      </c>
      <c r="AL12" s="1" t="s">
        <v>60</v>
      </c>
      <c r="AM12" s="1" t="s">
        <v>60</v>
      </c>
      <c r="AN12" s="1" t="s">
        <v>60</v>
      </c>
      <c r="AO12" s="1" t="s">
        <v>60</v>
      </c>
      <c r="AP12" s="1" t="s">
        <v>60</v>
      </c>
      <c r="AQ12" s="1" t="s">
        <v>60</v>
      </c>
      <c r="AR12" s="1" t="s">
        <v>64</v>
      </c>
      <c r="AS12" s="1" t="s">
        <v>60</v>
      </c>
      <c r="AT12" s="1" t="s">
        <v>60</v>
      </c>
      <c r="AU12" s="1" t="s">
        <v>60</v>
      </c>
      <c r="AV12" s="1" t="s">
        <v>60</v>
      </c>
      <c r="AW12" s="1" t="s">
        <v>60</v>
      </c>
      <c r="AX12" s="1" t="s">
        <v>60</v>
      </c>
      <c r="AY12" s="1" t="s">
        <v>60</v>
      </c>
      <c r="AZ12" s="1" t="s">
        <v>60</v>
      </c>
      <c r="BA12" s="1" t="s">
        <v>60</v>
      </c>
      <c r="BB12" s="1" t="s">
        <v>60</v>
      </c>
      <c r="BC12" s="1" t="s">
        <v>60</v>
      </c>
      <c r="BD12" s="1" t="s">
        <v>60</v>
      </c>
      <c r="BE12" s="1" t="s">
        <v>60</v>
      </c>
      <c r="BF12" s="1" t="s">
        <v>60</v>
      </c>
      <c r="BG12" s="1" t="s">
        <v>60</v>
      </c>
      <c r="BH12" s="1" t="s">
        <v>64</v>
      </c>
      <c r="BI12" s="1" t="s">
        <v>60</v>
      </c>
      <c r="BJ12" s="1" t="s">
        <v>60</v>
      </c>
      <c r="BK12" s="1" t="s">
        <v>60</v>
      </c>
      <c r="BL12" s="1" t="s">
        <v>60</v>
      </c>
      <c r="BM12" s="1" t="s">
        <v>60</v>
      </c>
      <c r="BN12" s="1" t="s">
        <v>60</v>
      </c>
      <c r="BO12" s="1" t="s">
        <v>60</v>
      </c>
      <c r="BP12" s="1" t="s">
        <v>60</v>
      </c>
      <c r="BQ12" s="1" t="s">
        <v>60</v>
      </c>
      <c r="BR12" s="1" t="s">
        <v>60</v>
      </c>
      <c r="BS12" s="1" t="s">
        <v>60</v>
      </c>
      <c r="BT12" s="1" t="s">
        <v>60</v>
      </c>
      <c r="BU12" s="1" t="s">
        <v>60</v>
      </c>
      <c r="BV12" s="1" t="s">
        <v>60</v>
      </c>
      <c r="BW12" s="1" t="s">
        <v>60</v>
      </c>
    </row>
    <row r="13" spans="1:75" s="7" customFormat="1" x14ac:dyDescent="0.2">
      <c r="A13" s="1">
        <v>12</v>
      </c>
      <c r="B13" s="1">
        <v>197</v>
      </c>
      <c r="C13" s="1" t="s">
        <v>72</v>
      </c>
      <c r="D13" s="1" t="s">
        <v>74</v>
      </c>
      <c r="E13" s="1" t="s">
        <v>59</v>
      </c>
      <c r="F13" s="1">
        <v>8</v>
      </c>
      <c r="G13" s="1"/>
      <c r="H13" s="1">
        <v>64</v>
      </c>
      <c r="I13" s="1">
        <v>6</v>
      </c>
      <c r="J13" s="1">
        <v>6</v>
      </c>
      <c r="K13" s="1">
        <v>0</v>
      </c>
      <c r="L13" s="1">
        <v>6</v>
      </c>
      <c r="M13" s="1">
        <v>6</v>
      </c>
      <c r="N13" s="1">
        <v>0</v>
      </c>
      <c r="O13" s="1">
        <v>6</v>
      </c>
      <c r="P13" s="1">
        <v>6</v>
      </c>
      <c r="Q13" s="1">
        <v>0</v>
      </c>
      <c r="R13" s="1">
        <v>6</v>
      </c>
      <c r="S13" s="1">
        <v>6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/>
      <c r="AB13" s="1">
        <v>0</v>
      </c>
      <c r="AC13" s="1" t="s">
        <v>60</v>
      </c>
      <c r="AD13" s="1" t="s">
        <v>60</v>
      </c>
      <c r="AE13" s="1" t="s">
        <v>60</v>
      </c>
      <c r="AF13" s="1" t="s">
        <v>60</v>
      </c>
      <c r="AG13" s="1" t="s">
        <v>60</v>
      </c>
      <c r="AH13" s="1" t="s">
        <v>60</v>
      </c>
      <c r="AI13" s="1" t="s">
        <v>60</v>
      </c>
      <c r="AJ13" s="1" t="s">
        <v>60</v>
      </c>
      <c r="AK13" s="1" t="s">
        <v>60</v>
      </c>
      <c r="AL13" s="1" t="s">
        <v>60</v>
      </c>
      <c r="AM13" s="1" t="s">
        <v>60</v>
      </c>
      <c r="AN13" s="1" t="s">
        <v>60</v>
      </c>
      <c r="AO13" s="1" t="s">
        <v>60</v>
      </c>
      <c r="AP13" s="1" t="s">
        <v>60</v>
      </c>
      <c r="AQ13" s="1" t="s">
        <v>60</v>
      </c>
      <c r="AR13" s="1" t="s">
        <v>64</v>
      </c>
      <c r="AS13" s="1" t="s">
        <v>60</v>
      </c>
      <c r="AT13" s="1" t="s">
        <v>60</v>
      </c>
      <c r="AU13" s="1" t="s">
        <v>60</v>
      </c>
      <c r="AV13" s="1" t="s">
        <v>60</v>
      </c>
      <c r="AW13" s="1" t="s">
        <v>60</v>
      </c>
      <c r="AX13" s="1" t="s">
        <v>60</v>
      </c>
      <c r="AY13" s="1" t="s">
        <v>60</v>
      </c>
      <c r="AZ13" s="1" t="s">
        <v>60</v>
      </c>
      <c r="BA13" s="1" t="s">
        <v>60</v>
      </c>
      <c r="BB13" s="1" t="s">
        <v>60</v>
      </c>
      <c r="BC13" s="1" t="s">
        <v>60</v>
      </c>
      <c r="BD13" s="1" t="s">
        <v>60</v>
      </c>
      <c r="BE13" s="1" t="s">
        <v>60</v>
      </c>
      <c r="BF13" s="1" t="s">
        <v>60</v>
      </c>
      <c r="BG13" s="1" t="s">
        <v>60</v>
      </c>
      <c r="BH13" s="1" t="s">
        <v>64</v>
      </c>
      <c r="BI13" s="1" t="s">
        <v>60</v>
      </c>
      <c r="BJ13" s="1" t="s">
        <v>60</v>
      </c>
      <c r="BK13" s="1" t="s">
        <v>60</v>
      </c>
      <c r="BL13" s="1" t="s">
        <v>60</v>
      </c>
      <c r="BM13" s="1" t="s">
        <v>60</v>
      </c>
      <c r="BN13" s="1" t="s">
        <v>60</v>
      </c>
      <c r="BO13" s="1" t="s">
        <v>60</v>
      </c>
      <c r="BP13" s="1" t="s">
        <v>60</v>
      </c>
      <c r="BQ13" s="1" t="s">
        <v>60</v>
      </c>
      <c r="BR13" s="1" t="s">
        <v>60</v>
      </c>
      <c r="BS13" s="1" t="s">
        <v>60</v>
      </c>
      <c r="BT13" s="1" t="s">
        <v>60</v>
      </c>
      <c r="BU13" s="1" t="s">
        <v>60</v>
      </c>
      <c r="BV13" s="1" t="s">
        <v>60</v>
      </c>
      <c r="BW13" s="1" t="s">
        <v>60</v>
      </c>
    </row>
    <row r="14" spans="1:75" s="7" customFormat="1" x14ac:dyDescent="0.2">
      <c r="A14" s="1">
        <v>13</v>
      </c>
      <c r="B14" s="1">
        <v>198</v>
      </c>
      <c r="C14" s="1" t="s">
        <v>72</v>
      </c>
      <c r="D14" s="1" t="s">
        <v>75</v>
      </c>
      <c r="E14" s="1" t="s">
        <v>59</v>
      </c>
      <c r="F14" s="1">
        <v>64</v>
      </c>
      <c r="G14" s="1"/>
      <c r="H14" s="1">
        <v>512</v>
      </c>
      <c r="I14" s="1">
        <v>6</v>
      </c>
      <c r="J14" s="1">
        <v>6</v>
      </c>
      <c r="K14" s="1">
        <v>0</v>
      </c>
      <c r="L14" s="1">
        <v>6</v>
      </c>
      <c r="M14" s="1">
        <v>6</v>
      </c>
      <c r="N14" s="1">
        <v>0</v>
      </c>
      <c r="O14" s="1">
        <v>6</v>
      </c>
      <c r="P14" s="1">
        <v>6</v>
      </c>
      <c r="Q14" s="1">
        <v>0</v>
      </c>
      <c r="R14" s="1">
        <v>6</v>
      </c>
      <c r="S14" s="1">
        <v>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/>
      <c r="AB14" s="1">
        <v>0</v>
      </c>
      <c r="AC14" s="1" t="s">
        <v>60</v>
      </c>
      <c r="AD14" s="1" t="s">
        <v>60</v>
      </c>
      <c r="AE14" s="1" t="s">
        <v>60</v>
      </c>
      <c r="AF14" s="1" t="s">
        <v>60</v>
      </c>
      <c r="AG14" s="1" t="s">
        <v>60</v>
      </c>
      <c r="AH14" s="1" t="s">
        <v>60</v>
      </c>
      <c r="AI14" s="1" t="s">
        <v>60</v>
      </c>
      <c r="AJ14" s="1" t="s">
        <v>60</v>
      </c>
      <c r="AK14" s="1" t="s">
        <v>60</v>
      </c>
      <c r="AL14" s="1" t="s">
        <v>60</v>
      </c>
      <c r="AM14" s="1" t="s">
        <v>60</v>
      </c>
      <c r="AN14" s="1" t="s">
        <v>60</v>
      </c>
      <c r="AO14" s="1" t="s">
        <v>60</v>
      </c>
      <c r="AP14" s="1" t="s">
        <v>60</v>
      </c>
      <c r="AQ14" s="1" t="s">
        <v>60</v>
      </c>
      <c r="AR14" s="1" t="s">
        <v>64</v>
      </c>
      <c r="AS14" s="1" t="s">
        <v>60</v>
      </c>
      <c r="AT14" s="1" t="s">
        <v>60</v>
      </c>
      <c r="AU14" s="1" t="s">
        <v>60</v>
      </c>
      <c r="AV14" s="1" t="s">
        <v>60</v>
      </c>
      <c r="AW14" s="1" t="s">
        <v>60</v>
      </c>
      <c r="AX14" s="1" t="s">
        <v>60</v>
      </c>
      <c r="AY14" s="1" t="s">
        <v>60</v>
      </c>
      <c r="AZ14" s="1" t="s">
        <v>60</v>
      </c>
      <c r="BA14" s="1" t="s">
        <v>60</v>
      </c>
      <c r="BB14" s="1" t="s">
        <v>60</v>
      </c>
      <c r="BC14" s="1" t="s">
        <v>60</v>
      </c>
      <c r="BD14" s="1" t="s">
        <v>60</v>
      </c>
      <c r="BE14" s="1" t="s">
        <v>60</v>
      </c>
      <c r="BF14" s="1" t="s">
        <v>60</v>
      </c>
      <c r="BG14" s="1" t="s">
        <v>60</v>
      </c>
      <c r="BH14" s="1" t="s">
        <v>64</v>
      </c>
      <c r="BI14" s="1" t="s">
        <v>60</v>
      </c>
      <c r="BJ14" s="1" t="s">
        <v>60</v>
      </c>
      <c r="BK14" s="1" t="s">
        <v>60</v>
      </c>
      <c r="BL14" s="1" t="s">
        <v>60</v>
      </c>
      <c r="BM14" s="1" t="s">
        <v>60</v>
      </c>
      <c r="BN14" s="1" t="s">
        <v>60</v>
      </c>
      <c r="BO14" s="1" t="s">
        <v>60</v>
      </c>
      <c r="BP14" s="1" t="s">
        <v>60</v>
      </c>
      <c r="BQ14" s="1" t="s">
        <v>60</v>
      </c>
      <c r="BR14" s="1" t="s">
        <v>60</v>
      </c>
      <c r="BS14" s="1" t="s">
        <v>60</v>
      </c>
      <c r="BT14" s="1" t="s">
        <v>60</v>
      </c>
      <c r="BU14" s="1" t="s">
        <v>60</v>
      </c>
      <c r="BV14" s="1" t="s">
        <v>60</v>
      </c>
      <c r="BW14" s="1" t="s">
        <v>60</v>
      </c>
    </row>
    <row r="15" spans="1:75" x14ac:dyDescent="0.2">
      <c r="A15" s="1">
        <v>14</v>
      </c>
      <c r="B15" s="1">
        <v>208</v>
      </c>
      <c r="C15" s="1" t="s">
        <v>57</v>
      </c>
      <c r="D15" s="1" t="s">
        <v>76</v>
      </c>
      <c r="E15" s="1" t="s">
        <v>59</v>
      </c>
      <c r="F15" s="1">
        <v>1</v>
      </c>
      <c r="G15" s="1"/>
      <c r="H15" s="1">
        <v>8</v>
      </c>
      <c r="I15" s="1">
        <v>10.38</v>
      </c>
      <c r="J15" s="1">
        <v>32.799999999999997</v>
      </c>
      <c r="K15" s="1">
        <v>22.419999999999995</v>
      </c>
      <c r="L15" s="1">
        <v>7.76</v>
      </c>
      <c r="M15" s="1">
        <v>21.76</v>
      </c>
      <c r="N15" s="1">
        <v>14.000000000000002</v>
      </c>
      <c r="O15" s="1">
        <v>11.5</v>
      </c>
      <c r="P15" s="1">
        <v>20.52</v>
      </c>
      <c r="Q15" s="1">
        <v>9.02</v>
      </c>
      <c r="R15" s="1">
        <v>16.48</v>
      </c>
      <c r="S15" s="1">
        <v>23.32</v>
      </c>
      <c r="T15" s="1">
        <v>6.84</v>
      </c>
      <c r="U15" s="1">
        <v>10.3</v>
      </c>
      <c r="V15" s="1">
        <v>28.82</v>
      </c>
      <c r="W15" s="1">
        <v>18.52</v>
      </c>
      <c r="X15" s="1">
        <v>16.920000000000002</v>
      </c>
      <c r="Y15" s="1">
        <v>30.52</v>
      </c>
      <c r="Z15" s="1">
        <v>13.599999999999998</v>
      </c>
      <c r="AA15" s="1"/>
      <c r="AB15" s="1">
        <v>0</v>
      </c>
      <c r="AC15" s="1">
        <v>0</v>
      </c>
      <c r="AD15" s="1">
        <v>0</v>
      </c>
      <c r="AE15" s="1">
        <v>78</v>
      </c>
      <c r="AF15" s="1" t="s">
        <v>60</v>
      </c>
      <c r="AG15" s="1" t="s">
        <v>60</v>
      </c>
      <c r="AH15" s="1" t="s">
        <v>60</v>
      </c>
      <c r="AI15" s="1" t="s">
        <v>60</v>
      </c>
      <c r="AJ15" s="1" t="s">
        <v>60</v>
      </c>
      <c r="AK15" s="1" t="s">
        <v>60</v>
      </c>
      <c r="AL15" s="1" t="s">
        <v>60</v>
      </c>
      <c r="AM15" s="1">
        <v>193</v>
      </c>
      <c r="AN15" s="1">
        <v>50</v>
      </c>
      <c r="AO15" s="1" t="s">
        <v>64</v>
      </c>
      <c r="AP15" s="1" t="s">
        <v>64</v>
      </c>
      <c r="AQ15" s="1">
        <v>0</v>
      </c>
      <c r="AR15" s="1">
        <v>0</v>
      </c>
      <c r="AS15" s="1">
        <v>0</v>
      </c>
      <c r="AT15" s="1">
        <v>0</v>
      </c>
      <c r="AU15" s="1">
        <v>101</v>
      </c>
      <c r="AV15" s="1" t="s">
        <v>60</v>
      </c>
      <c r="AW15" s="1" t="s">
        <v>60</v>
      </c>
      <c r="AX15" s="1" t="s">
        <v>60</v>
      </c>
      <c r="AY15" s="1" t="s">
        <v>60</v>
      </c>
      <c r="AZ15" s="1" t="s">
        <v>60</v>
      </c>
      <c r="BA15" s="1" t="s">
        <v>60</v>
      </c>
      <c r="BB15" s="1" t="s">
        <v>60</v>
      </c>
      <c r="BC15" s="1" t="s">
        <v>60</v>
      </c>
      <c r="BD15" s="1">
        <v>114</v>
      </c>
      <c r="BE15" s="1">
        <v>37</v>
      </c>
      <c r="BF15" s="1" t="s">
        <v>64</v>
      </c>
      <c r="BG15" s="1">
        <v>0</v>
      </c>
      <c r="BH15" s="1">
        <v>0</v>
      </c>
      <c r="BI15" s="1">
        <v>0</v>
      </c>
      <c r="BJ15" s="1">
        <v>0</v>
      </c>
      <c r="BK15" s="1">
        <v>108</v>
      </c>
      <c r="BL15" s="1" t="s">
        <v>60</v>
      </c>
      <c r="BM15" s="1" t="s">
        <v>60</v>
      </c>
      <c r="BN15" s="1" t="s">
        <v>60</v>
      </c>
      <c r="BO15" s="1" t="s">
        <v>60</v>
      </c>
      <c r="BP15" s="1" t="s">
        <v>60</v>
      </c>
      <c r="BQ15" s="1" t="s">
        <v>60</v>
      </c>
      <c r="BR15" s="1" t="s">
        <v>60</v>
      </c>
      <c r="BS15" s="1" t="s">
        <v>60</v>
      </c>
      <c r="BT15" s="1">
        <v>114</v>
      </c>
      <c r="BU15" s="1">
        <v>37</v>
      </c>
      <c r="BV15" s="1">
        <v>3</v>
      </c>
      <c r="BW15" s="1" t="s">
        <v>64</v>
      </c>
    </row>
    <row r="16" spans="1:75" s="5" customFormat="1" x14ac:dyDescent="0.2">
      <c r="A16" s="1">
        <v>15</v>
      </c>
      <c r="B16" s="1">
        <v>213</v>
      </c>
      <c r="C16" s="1" t="s">
        <v>57</v>
      </c>
      <c r="D16" s="1" t="s">
        <v>77</v>
      </c>
      <c r="E16" s="1" t="s">
        <v>59</v>
      </c>
      <c r="F16" s="1">
        <v>8</v>
      </c>
      <c r="G16" s="1"/>
      <c r="H16" s="1">
        <v>64</v>
      </c>
      <c r="I16" s="1">
        <v>9.8800000000000008</v>
      </c>
      <c r="J16" s="1">
        <v>21.78</v>
      </c>
      <c r="K16" s="1">
        <v>11.9</v>
      </c>
      <c r="L16" s="1">
        <v>13.32</v>
      </c>
      <c r="M16" s="1">
        <v>22.98</v>
      </c>
      <c r="N16" s="1">
        <v>9.66</v>
      </c>
      <c r="O16" s="1">
        <v>9.44</v>
      </c>
      <c r="P16" s="1">
        <v>18.14</v>
      </c>
      <c r="Q16" s="1">
        <v>8.7000000000000011</v>
      </c>
      <c r="R16" s="1">
        <v>8.42</v>
      </c>
      <c r="S16" s="1">
        <v>15.62</v>
      </c>
      <c r="T16" s="1">
        <v>7.1999999999999993</v>
      </c>
      <c r="U16" s="1">
        <v>11.86</v>
      </c>
      <c r="V16" s="1">
        <v>22</v>
      </c>
      <c r="W16" s="1">
        <v>10.14</v>
      </c>
      <c r="X16" s="1">
        <v>11.46</v>
      </c>
      <c r="Y16" s="1">
        <v>18.54</v>
      </c>
      <c r="Z16" s="1">
        <v>7.0799999999999983</v>
      </c>
      <c r="AA16" s="1" t="s">
        <v>78</v>
      </c>
      <c r="AB16" s="1">
        <v>0</v>
      </c>
      <c r="AC16" s="1">
        <v>0</v>
      </c>
      <c r="AD16" s="1">
        <v>0</v>
      </c>
      <c r="AE16" s="1" t="s">
        <v>64</v>
      </c>
      <c r="AF16" s="1" t="s">
        <v>60</v>
      </c>
      <c r="AG16" s="1" t="s">
        <v>60</v>
      </c>
      <c r="AH16" s="1" t="s">
        <v>60</v>
      </c>
      <c r="AI16" s="1" t="s">
        <v>60</v>
      </c>
      <c r="AJ16" s="1" t="s">
        <v>60</v>
      </c>
      <c r="AK16" s="1" t="s">
        <v>60</v>
      </c>
      <c r="AL16" s="1" t="s">
        <v>60</v>
      </c>
      <c r="AM16" s="1" t="s">
        <v>60</v>
      </c>
      <c r="AN16" s="1" t="s">
        <v>60</v>
      </c>
      <c r="AO16" s="1" t="s">
        <v>64</v>
      </c>
      <c r="AP16" s="1" t="s">
        <v>64</v>
      </c>
      <c r="AQ16" s="1" t="s">
        <v>64</v>
      </c>
      <c r="AR16" s="1">
        <v>0</v>
      </c>
      <c r="AS16" s="1">
        <v>0</v>
      </c>
      <c r="AT16" s="1">
        <v>0</v>
      </c>
      <c r="AU16" s="1">
        <v>5</v>
      </c>
      <c r="AV16" s="1" t="s">
        <v>60</v>
      </c>
      <c r="AW16" s="1" t="s">
        <v>60</v>
      </c>
      <c r="AX16" s="1" t="s">
        <v>60</v>
      </c>
      <c r="AY16" s="1" t="s">
        <v>60</v>
      </c>
      <c r="AZ16" s="1" t="s">
        <v>60</v>
      </c>
      <c r="BA16" s="1" t="s">
        <v>60</v>
      </c>
      <c r="BB16" s="1" t="s">
        <v>60</v>
      </c>
      <c r="BC16" s="1" t="s">
        <v>60</v>
      </c>
      <c r="BD16" s="1" t="s">
        <v>60</v>
      </c>
      <c r="BE16" s="1">
        <v>231</v>
      </c>
      <c r="BF16" s="1" t="s">
        <v>64</v>
      </c>
      <c r="BG16" s="1" t="s">
        <v>64</v>
      </c>
      <c r="BH16" s="1">
        <v>0</v>
      </c>
      <c r="BI16" s="1">
        <v>0</v>
      </c>
      <c r="BJ16" s="1">
        <v>6</v>
      </c>
      <c r="BK16" s="1" t="s">
        <v>60</v>
      </c>
      <c r="BL16" s="1" t="s">
        <v>60</v>
      </c>
      <c r="BM16" s="1" t="s">
        <v>60</v>
      </c>
      <c r="BN16" s="1" t="s">
        <v>60</v>
      </c>
      <c r="BO16" s="1" t="s">
        <v>60</v>
      </c>
      <c r="BP16" s="1" t="s">
        <v>60</v>
      </c>
      <c r="BQ16" s="1" t="s">
        <v>60</v>
      </c>
      <c r="BR16" s="1" t="s">
        <v>60</v>
      </c>
      <c r="BS16" s="1" t="s">
        <v>60</v>
      </c>
      <c r="BT16" s="1" t="s">
        <v>60</v>
      </c>
      <c r="BU16" s="1" t="s">
        <v>60</v>
      </c>
      <c r="BV16" s="1">
        <v>14</v>
      </c>
      <c r="BW16" s="1">
        <v>4</v>
      </c>
    </row>
    <row r="17" spans="1:75" s="5" customFormat="1" x14ac:dyDescent="0.2">
      <c r="A17" s="1">
        <v>16</v>
      </c>
      <c r="B17" s="1">
        <v>215</v>
      </c>
      <c r="C17" s="1" t="s">
        <v>57</v>
      </c>
      <c r="D17" s="1" t="s">
        <v>79</v>
      </c>
      <c r="E17" s="1" t="s">
        <v>59</v>
      </c>
      <c r="F17" s="1">
        <v>1</v>
      </c>
      <c r="G17" s="1"/>
      <c r="H17" s="1">
        <v>8</v>
      </c>
      <c r="I17" s="1">
        <v>14.48</v>
      </c>
      <c r="J17" s="1">
        <v>24.7</v>
      </c>
      <c r="K17" s="1">
        <v>10.219999999999999</v>
      </c>
      <c r="L17" s="1">
        <v>7.96</v>
      </c>
      <c r="M17" s="1">
        <v>28.74</v>
      </c>
      <c r="N17" s="1">
        <v>20.779999999999998</v>
      </c>
      <c r="O17" s="1">
        <v>6.88</v>
      </c>
      <c r="P17" s="1">
        <v>28.26</v>
      </c>
      <c r="Q17" s="1">
        <v>21.380000000000003</v>
      </c>
      <c r="R17" s="1">
        <v>8.92</v>
      </c>
      <c r="S17" s="1">
        <v>30.52</v>
      </c>
      <c r="T17" s="1">
        <v>21.6</v>
      </c>
      <c r="U17" s="1">
        <v>8.82</v>
      </c>
      <c r="V17" s="1">
        <v>30.5</v>
      </c>
      <c r="W17" s="1">
        <v>21.68</v>
      </c>
      <c r="X17" s="1">
        <v>7.1</v>
      </c>
      <c r="Y17" s="1">
        <v>29.92</v>
      </c>
      <c r="Z17" s="1">
        <v>22.82</v>
      </c>
      <c r="AA17" s="1" t="s">
        <v>78</v>
      </c>
      <c r="AB17" s="1">
        <v>0</v>
      </c>
      <c r="AC17" s="1">
        <v>0</v>
      </c>
      <c r="AD17" s="1" t="s">
        <v>64</v>
      </c>
      <c r="AE17" s="1" t="s">
        <v>64</v>
      </c>
      <c r="AF17" s="1" t="s">
        <v>60</v>
      </c>
      <c r="AG17" s="1" t="s">
        <v>60</v>
      </c>
      <c r="AH17" s="1" t="s">
        <v>60</v>
      </c>
      <c r="AI17" s="1" t="s">
        <v>60</v>
      </c>
      <c r="AJ17" s="1" t="s">
        <v>60</v>
      </c>
      <c r="AK17" s="1" t="s">
        <v>60</v>
      </c>
      <c r="AL17" s="1" t="s">
        <v>60</v>
      </c>
      <c r="AM17" s="1" t="s">
        <v>60</v>
      </c>
      <c r="AN17" s="1" t="s">
        <v>60</v>
      </c>
      <c r="AO17" s="1">
        <v>643</v>
      </c>
      <c r="AP17" s="1" t="s">
        <v>64</v>
      </c>
      <c r="AQ17" s="1" t="s">
        <v>64</v>
      </c>
      <c r="AR17" s="1">
        <v>0</v>
      </c>
      <c r="AS17" s="1">
        <v>0</v>
      </c>
      <c r="AT17" s="1">
        <v>67</v>
      </c>
      <c r="AU17" s="1" t="s">
        <v>60</v>
      </c>
      <c r="AV17" s="1" t="s">
        <v>60</v>
      </c>
      <c r="AW17" s="1" t="s">
        <v>60</v>
      </c>
      <c r="AX17" s="1" t="s">
        <v>60</v>
      </c>
      <c r="AY17" s="1" t="s">
        <v>60</v>
      </c>
      <c r="AZ17" s="1" t="s">
        <v>60</v>
      </c>
      <c r="BA17" s="1" t="s">
        <v>60</v>
      </c>
      <c r="BB17" s="1" t="s">
        <v>60</v>
      </c>
      <c r="BC17" s="1" t="s">
        <v>60</v>
      </c>
      <c r="BD17" s="1" t="s">
        <v>60</v>
      </c>
      <c r="BE17" s="1" t="s">
        <v>60</v>
      </c>
      <c r="BF17" s="1" t="s">
        <v>60</v>
      </c>
      <c r="BG17" s="1">
        <v>589</v>
      </c>
      <c r="BH17" s="1">
        <v>0</v>
      </c>
      <c r="BI17" s="1">
        <v>8</v>
      </c>
      <c r="BJ17" s="1" t="s">
        <v>60</v>
      </c>
      <c r="BK17" s="1" t="s">
        <v>60</v>
      </c>
      <c r="BL17" s="1" t="s">
        <v>60</v>
      </c>
      <c r="BM17" s="1" t="s">
        <v>60</v>
      </c>
      <c r="BN17" s="1" t="s">
        <v>60</v>
      </c>
      <c r="BO17" s="1" t="s">
        <v>60</v>
      </c>
      <c r="BP17" s="1" t="s">
        <v>60</v>
      </c>
      <c r="BQ17" s="1" t="s">
        <v>60</v>
      </c>
      <c r="BR17" s="1" t="s">
        <v>60</v>
      </c>
      <c r="BS17" s="1" t="s">
        <v>60</v>
      </c>
      <c r="BT17" s="1" t="s">
        <v>60</v>
      </c>
      <c r="BU17" s="1" t="s">
        <v>60</v>
      </c>
      <c r="BV17" s="1" t="s">
        <v>60</v>
      </c>
      <c r="BW17" s="1" t="s">
        <v>60</v>
      </c>
    </row>
    <row r="18" spans="1:75" x14ac:dyDescent="0.2">
      <c r="A18" s="1">
        <v>17</v>
      </c>
      <c r="B18" s="1">
        <v>217</v>
      </c>
      <c r="C18" s="1" t="s">
        <v>57</v>
      </c>
      <c r="D18" s="1" t="s">
        <v>80</v>
      </c>
      <c r="E18" s="1" t="s">
        <v>59</v>
      </c>
      <c r="F18" s="1">
        <v>1</v>
      </c>
      <c r="G18" s="1"/>
      <c r="H18" s="1">
        <v>8</v>
      </c>
      <c r="I18" s="1">
        <v>22.62</v>
      </c>
      <c r="J18" s="1">
        <v>34.96</v>
      </c>
      <c r="K18" s="1">
        <v>12.34</v>
      </c>
      <c r="L18" s="1">
        <v>25.94</v>
      </c>
      <c r="M18" s="1">
        <v>33.340000000000003</v>
      </c>
      <c r="N18" s="1">
        <v>7.4000000000000021</v>
      </c>
      <c r="O18" s="1">
        <v>24.82</v>
      </c>
      <c r="P18" s="1">
        <v>33.94</v>
      </c>
      <c r="Q18" s="1">
        <v>9.1199999999999974</v>
      </c>
      <c r="R18" s="1">
        <v>22.56</v>
      </c>
      <c r="S18" s="1">
        <v>32.18</v>
      </c>
      <c r="T18" s="1">
        <v>9.620000000000001</v>
      </c>
      <c r="U18" s="1">
        <v>17.78</v>
      </c>
      <c r="V18" s="1">
        <v>33.700000000000003</v>
      </c>
      <c r="W18" s="1">
        <v>15.920000000000002</v>
      </c>
      <c r="X18" s="1">
        <v>19.38</v>
      </c>
      <c r="Y18" s="1">
        <v>32.76</v>
      </c>
      <c r="Z18" s="1">
        <v>13.379999999999999</v>
      </c>
      <c r="AA18" s="1"/>
      <c r="AB18" s="1">
        <v>0</v>
      </c>
      <c r="AC18" s="1">
        <v>0</v>
      </c>
      <c r="AD18" s="1">
        <v>0</v>
      </c>
      <c r="AE18" s="1">
        <v>2</v>
      </c>
      <c r="AF18" s="1">
        <v>307</v>
      </c>
      <c r="AG18" s="1" t="s">
        <v>60</v>
      </c>
      <c r="AH18" s="1" t="s">
        <v>60</v>
      </c>
      <c r="AI18" s="1" t="s">
        <v>60</v>
      </c>
      <c r="AJ18" s="1" t="s">
        <v>60</v>
      </c>
      <c r="AK18" s="1" t="s">
        <v>60</v>
      </c>
      <c r="AL18" s="1" t="s">
        <v>60</v>
      </c>
      <c r="AM18" s="1">
        <v>32</v>
      </c>
      <c r="AN18" s="1" t="s">
        <v>64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3</v>
      </c>
      <c r="AV18" s="1">
        <v>214</v>
      </c>
      <c r="AW18" s="1" t="s">
        <v>60</v>
      </c>
      <c r="AX18" s="1" t="s">
        <v>60</v>
      </c>
      <c r="AY18" s="1" t="s">
        <v>60</v>
      </c>
      <c r="AZ18" s="1" t="s">
        <v>60</v>
      </c>
      <c r="BA18" s="1" t="s">
        <v>60</v>
      </c>
      <c r="BB18" s="1" t="s">
        <v>60</v>
      </c>
      <c r="BC18" s="1">
        <v>611</v>
      </c>
      <c r="BD18" s="1" t="s">
        <v>64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3</v>
      </c>
      <c r="BL18" s="1" t="s">
        <v>60</v>
      </c>
      <c r="BM18" s="1" t="s">
        <v>60</v>
      </c>
      <c r="BN18" s="1" t="s">
        <v>60</v>
      </c>
      <c r="BO18" s="1" t="s">
        <v>60</v>
      </c>
      <c r="BP18" s="1" t="s">
        <v>60</v>
      </c>
      <c r="BQ18" s="1" t="s">
        <v>60</v>
      </c>
      <c r="BR18" s="1" t="s">
        <v>60</v>
      </c>
      <c r="BS18" s="1" t="s">
        <v>60</v>
      </c>
      <c r="BT18" s="1">
        <v>1</v>
      </c>
      <c r="BU18" s="1">
        <v>0</v>
      </c>
      <c r="BV18" s="1">
        <v>0</v>
      </c>
      <c r="BW18" s="1">
        <v>0</v>
      </c>
    </row>
    <row r="19" spans="1:75" x14ac:dyDescent="0.2">
      <c r="A19" s="1">
        <v>18</v>
      </c>
      <c r="B19" s="1">
        <v>225</v>
      </c>
      <c r="C19" s="1" t="s">
        <v>65</v>
      </c>
      <c r="D19" s="1" t="s">
        <v>81</v>
      </c>
      <c r="E19" s="1" t="s">
        <v>59</v>
      </c>
      <c r="F19" s="1">
        <v>4</v>
      </c>
      <c r="G19" s="1"/>
      <c r="H19" s="1">
        <v>32</v>
      </c>
      <c r="I19" s="1">
        <v>26.56</v>
      </c>
      <c r="J19" s="1">
        <v>26.8</v>
      </c>
      <c r="K19" s="1">
        <v>0.24000000000000199</v>
      </c>
      <c r="L19" s="1">
        <v>17</v>
      </c>
      <c r="M19" s="1">
        <v>22.44</v>
      </c>
      <c r="N19" s="1">
        <v>5.4400000000000013</v>
      </c>
      <c r="O19" s="1">
        <v>19.02</v>
      </c>
      <c r="P19" s="1">
        <v>24.9</v>
      </c>
      <c r="Q19" s="1">
        <v>5.879999999999999</v>
      </c>
      <c r="R19" s="1">
        <v>16.62</v>
      </c>
      <c r="S19" s="1">
        <v>21.68</v>
      </c>
      <c r="T19" s="1">
        <v>5.0599999999999987</v>
      </c>
      <c r="U19" s="1">
        <v>12.1</v>
      </c>
      <c r="V19" s="1">
        <v>24.16</v>
      </c>
      <c r="W19" s="1">
        <v>12.06</v>
      </c>
      <c r="X19" s="1">
        <v>20.82</v>
      </c>
      <c r="Y19" s="1">
        <v>25.5</v>
      </c>
      <c r="Z19" s="1">
        <v>4.68</v>
      </c>
      <c r="AA19" s="1"/>
      <c r="AB19" s="1">
        <v>0</v>
      </c>
      <c r="AC19" s="1">
        <v>0</v>
      </c>
      <c r="AD19" s="1">
        <v>0</v>
      </c>
      <c r="AE19" s="1" t="s">
        <v>64</v>
      </c>
      <c r="AF19" s="1" t="s">
        <v>60</v>
      </c>
      <c r="AG19" s="1" t="s">
        <v>60</v>
      </c>
      <c r="AH19" s="1" t="s">
        <v>60</v>
      </c>
      <c r="AI19" s="1" t="s">
        <v>60</v>
      </c>
      <c r="AJ19" s="1" t="s">
        <v>60</v>
      </c>
      <c r="AK19" s="1" t="s">
        <v>60</v>
      </c>
      <c r="AL19" s="1" t="s">
        <v>60</v>
      </c>
      <c r="AM19" s="1" t="s">
        <v>60</v>
      </c>
      <c r="AN19" s="1">
        <v>319</v>
      </c>
      <c r="AO19" s="1" t="s">
        <v>64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91</v>
      </c>
      <c r="AV19" s="1" t="s">
        <v>60</v>
      </c>
      <c r="AW19" s="1" t="s">
        <v>60</v>
      </c>
      <c r="AX19" s="1" t="s">
        <v>60</v>
      </c>
      <c r="AY19" s="1" t="s">
        <v>60</v>
      </c>
      <c r="AZ19" s="1" t="s">
        <v>60</v>
      </c>
      <c r="BA19" s="1" t="s">
        <v>60</v>
      </c>
      <c r="BB19" s="1" t="s">
        <v>60</v>
      </c>
      <c r="BC19" s="1" t="s">
        <v>60</v>
      </c>
      <c r="BD19" s="1" t="s">
        <v>60</v>
      </c>
      <c r="BE19" s="1">
        <v>231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176</v>
      </c>
      <c r="BL19" s="1" t="s">
        <v>60</v>
      </c>
      <c r="BM19" s="1" t="s">
        <v>60</v>
      </c>
      <c r="BN19" s="1" t="s">
        <v>60</v>
      </c>
      <c r="BO19" s="1" t="s">
        <v>60</v>
      </c>
      <c r="BP19" s="1" t="s">
        <v>60</v>
      </c>
      <c r="BQ19" s="1" t="s">
        <v>60</v>
      </c>
      <c r="BR19" s="1" t="s">
        <v>60</v>
      </c>
      <c r="BS19" s="1" t="s">
        <v>60</v>
      </c>
      <c r="BT19" s="1" t="s">
        <v>60</v>
      </c>
      <c r="BU19" s="1">
        <v>231</v>
      </c>
      <c r="BV19" s="1">
        <v>1</v>
      </c>
      <c r="BW19" s="1">
        <v>0</v>
      </c>
    </row>
    <row r="20" spans="1:75" x14ac:dyDescent="0.2">
      <c r="A20" s="1">
        <v>19</v>
      </c>
      <c r="B20" s="1">
        <v>226</v>
      </c>
      <c r="C20" s="1" t="s">
        <v>65</v>
      </c>
      <c r="D20" s="1" t="s">
        <v>82</v>
      </c>
      <c r="E20" s="1" t="s">
        <v>59</v>
      </c>
      <c r="F20" s="1">
        <v>1</v>
      </c>
      <c r="G20" s="1"/>
      <c r="H20" s="1">
        <v>8</v>
      </c>
      <c r="I20" s="1">
        <v>26.56</v>
      </c>
      <c r="J20" s="1">
        <v>32.14</v>
      </c>
      <c r="K20" s="1">
        <v>5.5800000000000018</v>
      </c>
      <c r="L20" s="1">
        <v>24.14</v>
      </c>
      <c r="M20" s="1">
        <v>29.38</v>
      </c>
      <c r="N20" s="1">
        <v>5.2399999999999984</v>
      </c>
      <c r="O20" s="1">
        <v>24.22</v>
      </c>
      <c r="P20" s="1">
        <v>30</v>
      </c>
      <c r="Q20" s="1">
        <v>5.7800000000000011</v>
      </c>
      <c r="R20" s="1">
        <v>24.42</v>
      </c>
      <c r="S20" s="1">
        <v>29.32</v>
      </c>
      <c r="T20" s="1">
        <v>4.8999999999999986</v>
      </c>
      <c r="U20" s="1">
        <v>20</v>
      </c>
      <c r="V20" s="1">
        <v>33.32</v>
      </c>
      <c r="W20" s="1">
        <v>13.32</v>
      </c>
      <c r="X20" s="1">
        <v>20.399999999999999</v>
      </c>
      <c r="Y20" s="1">
        <v>32.14</v>
      </c>
      <c r="Z20" s="1">
        <v>11.740000000000002</v>
      </c>
      <c r="AA20" s="1"/>
      <c r="AB20" s="1">
        <v>0</v>
      </c>
      <c r="AC20" s="1">
        <v>0</v>
      </c>
      <c r="AD20" s="1">
        <v>0</v>
      </c>
      <c r="AE20" s="1">
        <v>0</v>
      </c>
      <c r="AF20" s="1">
        <v>471</v>
      </c>
      <c r="AG20" s="1" t="s">
        <v>60</v>
      </c>
      <c r="AH20" s="1" t="s">
        <v>60</v>
      </c>
      <c r="AI20" s="1" t="s">
        <v>60</v>
      </c>
      <c r="AJ20" s="1" t="s">
        <v>60</v>
      </c>
      <c r="AK20" s="1" t="s">
        <v>60</v>
      </c>
      <c r="AL20" s="1" t="s">
        <v>60</v>
      </c>
      <c r="AM20" s="1">
        <v>320</v>
      </c>
      <c r="AN20" s="1" t="s">
        <v>64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482</v>
      </c>
      <c r="AW20" s="1" t="s">
        <v>60</v>
      </c>
      <c r="AX20" s="1" t="s">
        <v>60</v>
      </c>
      <c r="AY20" s="1" t="s">
        <v>60</v>
      </c>
      <c r="AZ20" s="1" t="s">
        <v>60</v>
      </c>
      <c r="BA20" s="1" t="s">
        <v>60</v>
      </c>
      <c r="BB20" s="1" t="s">
        <v>60</v>
      </c>
      <c r="BC20" s="1" t="s">
        <v>60</v>
      </c>
      <c r="BD20" s="1">
        <v>158</v>
      </c>
      <c r="BE20" s="1">
        <v>4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3</v>
      </c>
      <c r="BL20" s="1">
        <v>539</v>
      </c>
      <c r="BM20" s="1" t="s">
        <v>60</v>
      </c>
      <c r="BN20" s="1" t="s">
        <v>60</v>
      </c>
      <c r="BO20" s="1" t="s">
        <v>60</v>
      </c>
      <c r="BP20" s="1" t="s">
        <v>60</v>
      </c>
      <c r="BQ20" s="1" t="s">
        <v>60</v>
      </c>
      <c r="BR20" s="1" t="s">
        <v>60</v>
      </c>
      <c r="BS20" s="1" t="s">
        <v>60</v>
      </c>
      <c r="BT20" s="1">
        <v>165</v>
      </c>
      <c r="BU20" s="1">
        <v>7</v>
      </c>
      <c r="BV20" s="1">
        <v>0</v>
      </c>
      <c r="BW20" s="1">
        <v>0</v>
      </c>
    </row>
    <row r="21" spans="1:75" x14ac:dyDescent="0.2">
      <c r="A21" s="1">
        <v>20</v>
      </c>
      <c r="B21" s="1" t="s">
        <v>83</v>
      </c>
      <c r="C21" s="1" t="s">
        <v>84</v>
      </c>
      <c r="D21" s="1" t="s">
        <v>85</v>
      </c>
      <c r="E21" s="1" t="s">
        <v>59</v>
      </c>
      <c r="F21" s="1"/>
      <c r="G21" s="1">
        <v>8</v>
      </c>
      <c r="H21" s="1">
        <v>64</v>
      </c>
      <c r="I21" s="1">
        <v>18.38</v>
      </c>
      <c r="J21" s="1">
        <v>21.62</v>
      </c>
      <c r="K21" s="1">
        <v>3.24</v>
      </c>
      <c r="L21" s="1">
        <v>20.2</v>
      </c>
      <c r="M21" s="1">
        <v>22.96</v>
      </c>
      <c r="N21" s="1">
        <v>2.7600000000000016</v>
      </c>
      <c r="O21" s="1">
        <v>16.38</v>
      </c>
      <c r="P21" s="1">
        <v>18.78</v>
      </c>
      <c r="Q21" s="1">
        <v>2.4000000000000021</v>
      </c>
      <c r="R21" s="1">
        <v>12.32</v>
      </c>
      <c r="S21" s="1">
        <v>21.42</v>
      </c>
      <c r="T21" s="1">
        <v>9.1</v>
      </c>
      <c r="U21" s="1">
        <v>18.239999999999998</v>
      </c>
      <c r="V21" s="1">
        <v>22.84</v>
      </c>
      <c r="W21" s="1">
        <v>4.5999999999999996</v>
      </c>
      <c r="X21" s="1">
        <v>15.7</v>
      </c>
      <c r="Y21" s="1">
        <v>19.82</v>
      </c>
      <c r="Z21" s="1">
        <v>4.12</v>
      </c>
      <c r="AA21" s="1"/>
      <c r="AB21" s="1">
        <v>0</v>
      </c>
      <c r="AC21" s="1">
        <v>0</v>
      </c>
      <c r="AD21" s="1">
        <v>0</v>
      </c>
      <c r="AE21" s="1">
        <v>83</v>
      </c>
      <c r="AF21" s="1" t="s">
        <v>60</v>
      </c>
      <c r="AG21" s="1" t="s">
        <v>60</v>
      </c>
      <c r="AH21" s="1" t="s">
        <v>60</v>
      </c>
      <c r="AI21" s="1" t="s">
        <v>60</v>
      </c>
      <c r="AJ21" s="1" t="s">
        <v>60</v>
      </c>
      <c r="AK21" s="1" t="s">
        <v>60</v>
      </c>
      <c r="AL21" s="1" t="s">
        <v>60</v>
      </c>
      <c r="AM21" s="1" t="s">
        <v>98</v>
      </c>
      <c r="AN21" s="1">
        <v>381</v>
      </c>
      <c r="AO21" s="1">
        <v>185</v>
      </c>
      <c r="AP21" s="1" t="s">
        <v>99</v>
      </c>
      <c r="AQ21" s="1">
        <v>0</v>
      </c>
      <c r="AR21" s="1">
        <v>0</v>
      </c>
      <c r="AS21" s="1">
        <v>0</v>
      </c>
      <c r="AT21" s="1">
        <v>1</v>
      </c>
      <c r="AU21" s="1">
        <v>188</v>
      </c>
      <c r="AV21" s="1" t="s">
        <v>60</v>
      </c>
      <c r="AW21" s="1" t="s">
        <v>60</v>
      </c>
      <c r="AX21" s="1" t="s">
        <v>60</v>
      </c>
      <c r="AY21" s="1" t="s">
        <v>60</v>
      </c>
      <c r="AZ21" s="1" t="s">
        <v>60</v>
      </c>
      <c r="BA21" s="1" t="s">
        <v>60</v>
      </c>
      <c r="BB21" s="1" t="s">
        <v>60</v>
      </c>
      <c r="BC21" s="1" t="s">
        <v>98</v>
      </c>
      <c r="BD21" s="1" t="s">
        <v>98</v>
      </c>
      <c r="BE21" s="1">
        <v>305</v>
      </c>
      <c r="BF21" s="1">
        <v>35</v>
      </c>
      <c r="BG21" s="1" t="s">
        <v>99</v>
      </c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 t="s">
        <v>60</v>
      </c>
      <c r="BS21" s="1" t="s">
        <v>60</v>
      </c>
      <c r="BT21" s="1" t="s">
        <v>60</v>
      </c>
      <c r="BU21" s="1">
        <v>305</v>
      </c>
      <c r="BV21" s="1">
        <v>35</v>
      </c>
      <c r="BW21" s="1" t="s">
        <v>64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2C68-1417-014E-8EE4-139F6F07E2BB}">
  <dimension ref="A1:AG21"/>
  <sheetViews>
    <sheetView zoomScale="150" zoomScaleNormal="150" workbookViewId="0">
      <selection activeCell="AJ15" sqref="AJ15"/>
    </sheetView>
  </sheetViews>
  <sheetFormatPr baseColWidth="10" defaultRowHeight="16" x14ac:dyDescent="0.2"/>
  <cols>
    <col min="1" max="1" width="14.1640625" bestFit="1" customWidth="1"/>
    <col min="2" max="2" width="8" bestFit="1" customWidth="1"/>
    <col min="3" max="3" width="11.1640625" bestFit="1" customWidth="1"/>
    <col min="4" max="4" width="14.1640625" bestFit="1" customWidth="1"/>
    <col min="5" max="5" width="15.1640625" bestFit="1" customWidth="1"/>
    <col min="6" max="6" width="17.83203125" bestFit="1" customWidth="1"/>
    <col min="7" max="7" width="14.5" bestFit="1" customWidth="1"/>
    <col min="8" max="8" width="12.5" bestFit="1" customWidth="1"/>
    <col min="9" max="9" width="16.33203125" bestFit="1" customWidth="1"/>
    <col min="10" max="10" width="16.5" bestFit="1" customWidth="1"/>
    <col min="11" max="11" width="13.33203125" bestFit="1" customWidth="1"/>
    <col min="12" max="12" width="17.6640625" bestFit="1" customWidth="1"/>
    <col min="13" max="13" width="17.83203125" bestFit="1" customWidth="1"/>
    <col min="14" max="14" width="14.6640625" bestFit="1" customWidth="1"/>
    <col min="15" max="15" width="17.6640625" bestFit="1" customWidth="1"/>
    <col min="16" max="16" width="17.83203125" bestFit="1" customWidth="1"/>
    <col min="17" max="17" width="14.6640625" bestFit="1" customWidth="1"/>
    <col min="18" max="18" width="17.6640625" bestFit="1" customWidth="1"/>
    <col min="19" max="19" width="17.83203125" bestFit="1" customWidth="1"/>
    <col min="20" max="20" width="14.6640625" bestFit="1" customWidth="1"/>
    <col min="21" max="21" width="9.83203125" bestFit="1" customWidth="1"/>
    <col min="22" max="23" width="16.5" bestFit="1" customWidth="1"/>
    <col min="24" max="27" width="17.5" bestFit="1" customWidth="1"/>
    <col min="28" max="29" width="16.5" bestFit="1" customWidth="1"/>
    <col min="30" max="33" width="17.5" bestFit="1" customWidth="1"/>
  </cols>
  <sheetData>
    <row r="1" spans="1:3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26</v>
      </c>
      <c r="V1" s="4" t="s">
        <v>86</v>
      </c>
      <c r="W1" s="4" t="s">
        <v>90</v>
      </c>
      <c r="X1" s="4" t="s">
        <v>88</v>
      </c>
      <c r="Y1" s="4" t="s">
        <v>91</v>
      </c>
      <c r="Z1" s="4" t="s">
        <v>89</v>
      </c>
      <c r="AA1" s="4" t="s">
        <v>87</v>
      </c>
      <c r="AB1" s="4" t="s">
        <v>92</v>
      </c>
      <c r="AC1" s="4" t="s">
        <v>93</v>
      </c>
      <c r="AD1" s="4" t="s">
        <v>94</v>
      </c>
      <c r="AE1" s="4" t="s">
        <v>95</v>
      </c>
      <c r="AF1" s="4" t="s">
        <v>96</v>
      </c>
      <c r="AG1" s="4" t="s">
        <v>97</v>
      </c>
    </row>
    <row r="2" spans="1:33" x14ac:dyDescent="0.2">
      <c r="A2" s="1">
        <v>1</v>
      </c>
      <c r="B2" s="1">
        <v>101</v>
      </c>
      <c r="C2" s="1" t="s">
        <v>57</v>
      </c>
      <c r="D2" s="1" t="s">
        <v>58</v>
      </c>
      <c r="E2" s="1" t="s">
        <v>59</v>
      </c>
      <c r="F2" s="1">
        <v>2</v>
      </c>
      <c r="G2" s="1"/>
      <c r="H2" s="1">
        <v>16</v>
      </c>
      <c r="I2" s="1">
        <v>6</v>
      </c>
      <c r="J2" s="1">
        <v>15.48</v>
      </c>
      <c r="K2" s="1">
        <v>9.48</v>
      </c>
      <c r="L2" s="3">
        <v>6</v>
      </c>
      <c r="M2" s="3">
        <v>6</v>
      </c>
      <c r="N2" s="1">
        <f>Table2[[#This Row],[re_1_outer_flc]]-Table2[[#This Row],[re_1_inner_flc]]</f>
        <v>0</v>
      </c>
      <c r="O2" s="1">
        <v>6</v>
      </c>
      <c r="P2" s="1">
        <v>6</v>
      </c>
      <c r="Q2" s="1">
        <f>Table2[[#This Row],[re_2_outer_flc]]-Table2[[#This Row],[re_2_inner_flc]]</f>
        <v>0</v>
      </c>
      <c r="R2" s="1">
        <v>6</v>
      </c>
      <c r="S2" s="3">
        <v>6</v>
      </c>
      <c r="T2" s="3">
        <f>Table2[[#This Row],[re_3_outer_flc]]-Table2[[#This Row],[re_3_inner_flc]]</f>
        <v>0</v>
      </c>
      <c r="U2" s="3"/>
      <c r="V2" s="1" t="s">
        <v>60</v>
      </c>
      <c r="W2" s="1" t="s">
        <v>60</v>
      </c>
      <c r="X2" s="1" t="s">
        <v>60</v>
      </c>
      <c r="Y2" s="1" t="s">
        <v>60</v>
      </c>
      <c r="Z2" s="1" t="s">
        <v>60</v>
      </c>
      <c r="AA2" s="1" t="s">
        <v>60</v>
      </c>
      <c r="AB2" s="1" t="s">
        <v>60</v>
      </c>
      <c r="AC2" s="1" t="s">
        <v>60</v>
      </c>
      <c r="AD2" s="1" t="s">
        <v>60</v>
      </c>
      <c r="AE2" s="1" t="s">
        <v>60</v>
      </c>
      <c r="AF2" s="1" t="s">
        <v>60</v>
      </c>
      <c r="AG2" s="1" t="s">
        <v>60</v>
      </c>
    </row>
    <row r="3" spans="1:33" x14ac:dyDescent="0.2">
      <c r="A3" s="1">
        <v>2</v>
      </c>
      <c r="B3" s="1">
        <v>106</v>
      </c>
      <c r="C3" s="1" t="s">
        <v>57</v>
      </c>
      <c r="D3" s="1" t="s">
        <v>61</v>
      </c>
      <c r="E3" s="1" t="s">
        <v>59</v>
      </c>
      <c r="F3" s="1">
        <v>4</v>
      </c>
      <c r="G3" s="1"/>
      <c r="H3" s="1">
        <v>32</v>
      </c>
      <c r="I3" s="1">
        <v>16.82</v>
      </c>
      <c r="J3" s="1">
        <v>28.5</v>
      </c>
      <c r="K3" s="1">
        <v>11.68</v>
      </c>
      <c r="L3" s="3">
        <v>6</v>
      </c>
      <c r="M3" s="3">
        <v>6</v>
      </c>
      <c r="N3" s="1">
        <f>Table2[[#This Row],[re_1_outer_flc]]-Table2[[#This Row],[re_1_inner_flc]]</f>
        <v>0</v>
      </c>
      <c r="O3" s="3">
        <v>6</v>
      </c>
      <c r="P3" s="3">
        <v>6</v>
      </c>
      <c r="Q3" s="1">
        <f>Table2[[#This Row],[re_2_outer_flc]]-Table2[[#This Row],[re_2_inner_flc]]</f>
        <v>0</v>
      </c>
      <c r="R3" s="3">
        <v>6</v>
      </c>
      <c r="S3" s="3">
        <v>6</v>
      </c>
      <c r="T3" s="3">
        <f>Table2[[#This Row],[re_3_outer_flc]]-Table2[[#This Row],[re_3_inner_flc]]</f>
        <v>0</v>
      </c>
      <c r="U3" s="3"/>
      <c r="V3" s="1" t="s">
        <v>60</v>
      </c>
      <c r="W3" s="1" t="s">
        <v>60</v>
      </c>
      <c r="X3" s="1" t="s">
        <v>60</v>
      </c>
      <c r="Y3" s="1" t="s">
        <v>60</v>
      </c>
      <c r="Z3" s="1" t="s">
        <v>60</v>
      </c>
      <c r="AA3" s="1" t="s">
        <v>60</v>
      </c>
      <c r="AB3" s="1" t="s">
        <v>60</v>
      </c>
      <c r="AC3" s="1" t="s">
        <v>60</v>
      </c>
      <c r="AD3" s="1" t="s">
        <v>60</v>
      </c>
      <c r="AE3" s="1" t="s">
        <v>60</v>
      </c>
      <c r="AF3" s="1" t="s">
        <v>60</v>
      </c>
      <c r="AG3" s="1" t="s">
        <v>60</v>
      </c>
    </row>
    <row r="4" spans="1:33" x14ac:dyDescent="0.2">
      <c r="A4" s="1">
        <v>3</v>
      </c>
      <c r="B4" s="1">
        <v>126</v>
      </c>
      <c r="C4" s="1" t="s">
        <v>57</v>
      </c>
      <c r="D4" s="1" t="s">
        <v>62</v>
      </c>
      <c r="E4" s="1" t="s">
        <v>59</v>
      </c>
      <c r="F4" s="1">
        <v>1</v>
      </c>
      <c r="G4" s="1"/>
      <c r="H4" s="1">
        <v>8</v>
      </c>
      <c r="I4" s="1">
        <v>11.98</v>
      </c>
      <c r="J4" s="1">
        <v>25.7</v>
      </c>
      <c r="K4" s="1">
        <v>13.719999999999999</v>
      </c>
      <c r="L4" s="1">
        <v>6</v>
      </c>
      <c r="M4" s="1">
        <v>6</v>
      </c>
      <c r="N4" s="1">
        <f>Table2[[#This Row],[re_1_outer_flc]]-Table2[[#This Row],[re_1_inner_flc]]</f>
        <v>0</v>
      </c>
      <c r="O4" s="1">
        <v>6</v>
      </c>
      <c r="P4" s="1">
        <v>6</v>
      </c>
      <c r="Q4" s="1">
        <f>Table2[[#This Row],[re_2_outer_flc]]-Table2[[#This Row],[re_2_inner_flc]]</f>
        <v>0</v>
      </c>
      <c r="R4" s="1">
        <v>6</v>
      </c>
      <c r="S4" s="1">
        <v>6</v>
      </c>
      <c r="T4" s="1">
        <f>Table2[[#This Row],[re_3_outer_flc]]-Table2[[#This Row],[re_3_inner_flc]]</f>
        <v>0</v>
      </c>
      <c r="U4" s="1"/>
      <c r="V4" s="1" t="s">
        <v>60</v>
      </c>
      <c r="W4" s="1" t="s">
        <v>60</v>
      </c>
      <c r="X4" s="1" t="s">
        <v>60</v>
      </c>
      <c r="Y4" s="1" t="s">
        <v>60</v>
      </c>
      <c r="Z4" s="1" t="s">
        <v>60</v>
      </c>
      <c r="AA4" s="1" t="s">
        <v>60</v>
      </c>
      <c r="AB4" s="1" t="s">
        <v>60</v>
      </c>
      <c r="AC4" s="1" t="s">
        <v>60</v>
      </c>
      <c r="AD4" s="1" t="s">
        <v>60</v>
      </c>
      <c r="AE4" s="1" t="s">
        <v>60</v>
      </c>
      <c r="AF4" s="1" t="s">
        <v>60</v>
      </c>
      <c r="AG4" s="1" t="s">
        <v>60</v>
      </c>
    </row>
    <row r="5" spans="1:33" x14ac:dyDescent="0.2">
      <c r="A5" s="1">
        <v>4</v>
      </c>
      <c r="B5" s="1">
        <v>128</v>
      </c>
      <c r="C5" s="1" t="s">
        <v>57</v>
      </c>
      <c r="D5" s="1" t="s">
        <v>63</v>
      </c>
      <c r="E5" s="1" t="s">
        <v>59</v>
      </c>
      <c r="F5" s="1"/>
      <c r="G5" s="1">
        <v>2</v>
      </c>
      <c r="H5" s="1">
        <v>16</v>
      </c>
      <c r="I5" s="1">
        <v>15.02</v>
      </c>
      <c r="J5" s="1">
        <v>27.5</v>
      </c>
      <c r="K5" s="1">
        <v>12.48</v>
      </c>
      <c r="L5" s="1">
        <v>6</v>
      </c>
      <c r="M5" s="1">
        <v>7.26</v>
      </c>
      <c r="N5" s="1">
        <f>Table2[[#This Row],[re_1_outer_flc]]-Table2[[#This Row],[re_1_inner_flc]]</f>
        <v>1.2599999999999998</v>
      </c>
      <c r="O5" s="1">
        <v>6</v>
      </c>
      <c r="P5" s="1">
        <v>7.54</v>
      </c>
      <c r="Q5" s="1">
        <f>Table2[[#This Row],[re_2_outer_flc]]-Table2[[#This Row],[re_2_inner_flc]]</f>
        <v>1.54</v>
      </c>
      <c r="R5" s="1">
        <v>6</v>
      </c>
      <c r="S5" s="1">
        <v>8.44</v>
      </c>
      <c r="T5" s="1">
        <f>Table2[[#This Row],[re_3_outer_flc]]-Table2[[#This Row],[re_3_inner_flc]]</f>
        <v>2.4399999999999995</v>
      </c>
      <c r="U5" s="1"/>
      <c r="V5" s="1" t="s">
        <v>60</v>
      </c>
      <c r="W5" s="1" t="s">
        <v>60</v>
      </c>
      <c r="X5" s="1" t="s">
        <v>60</v>
      </c>
      <c r="Y5" s="1" t="s">
        <v>60</v>
      </c>
      <c r="Z5" s="1" t="s">
        <v>60</v>
      </c>
      <c r="AA5" s="1" t="s">
        <v>64</v>
      </c>
      <c r="AB5" s="1" t="s">
        <v>60</v>
      </c>
      <c r="AC5" s="1" t="s">
        <v>60</v>
      </c>
      <c r="AD5" s="1" t="s">
        <v>60</v>
      </c>
      <c r="AE5" s="1" t="s">
        <v>60</v>
      </c>
      <c r="AF5" s="1" t="s">
        <v>60</v>
      </c>
      <c r="AG5" s="1">
        <v>17</v>
      </c>
    </row>
    <row r="6" spans="1:33" x14ac:dyDescent="0.2">
      <c r="A6" s="1">
        <v>5</v>
      </c>
      <c r="B6" s="1">
        <v>147</v>
      </c>
      <c r="C6" s="1" t="s">
        <v>65</v>
      </c>
      <c r="D6" s="1" t="s">
        <v>66</v>
      </c>
      <c r="E6" s="1" t="s">
        <v>59</v>
      </c>
      <c r="F6" s="1">
        <v>4</v>
      </c>
      <c r="G6" s="1"/>
      <c r="H6" s="1">
        <v>32</v>
      </c>
      <c r="I6" s="1">
        <v>20</v>
      </c>
      <c r="J6" s="1">
        <v>21.18</v>
      </c>
      <c r="K6" s="1">
        <v>1.1799999999999997</v>
      </c>
      <c r="L6" s="1">
        <v>6</v>
      </c>
      <c r="M6" s="1">
        <v>14.12</v>
      </c>
      <c r="N6" s="1">
        <f>Table2[[#This Row],[re_1_outer_flc]]-Table2[[#This Row],[re_1_inner_flc]]</f>
        <v>8.1199999999999992</v>
      </c>
      <c r="O6" s="1">
        <v>6</v>
      </c>
      <c r="P6" s="1">
        <v>14.62</v>
      </c>
      <c r="Q6" s="1">
        <f>Table2[[#This Row],[re_2_outer_flc]]-Table2[[#This Row],[re_2_inner_flc]]</f>
        <v>8.6199999999999992</v>
      </c>
      <c r="R6" s="1">
        <v>6</v>
      </c>
      <c r="S6" s="1">
        <v>12.92</v>
      </c>
      <c r="T6" s="1">
        <f>Table2[[#This Row],[re_3_outer_flc]]-Table2[[#This Row],[re_3_inner_flc]]</f>
        <v>6.92</v>
      </c>
      <c r="U6" s="1"/>
      <c r="V6" s="1" t="s">
        <v>60</v>
      </c>
      <c r="W6" s="1" t="s">
        <v>60</v>
      </c>
      <c r="X6" s="1" t="s">
        <v>60</v>
      </c>
      <c r="Y6" s="1" t="s">
        <v>60</v>
      </c>
      <c r="Z6" s="1" t="s">
        <v>60</v>
      </c>
      <c r="AA6" s="1" t="s">
        <v>60</v>
      </c>
      <c r="AB6" s="1" t="s">
        <v>60</v>
      </c>
      <c r="AC6" s="1" t="s">
        <v>60</v>
      </c>
      <c r="AD6" s="1" t="s">
        <v>60</v>
      </c>
      <c r="AE6" s="1" t="s">
        <v>60</v>
      </c>
      <c r="AF6" s="1" t="s">
        <v>60</v>
      </c>
      <c r="AG6" s="1" t="s">
        <v>60</v>
      </c>
    </row>
    <row r="7" spans="1:33" x14ac:dyDescent="0.2">
      <c r="A7" s="1">
        <v>6</v>
      </c>
      <c r="B7" s="1">
        <v>150</v>
      </c>
      <c r="C7" s="1" t="s">
        <v>65</v>
      </c>
      <c r="D7" s="1" t="s">
        <v>67</v>
      </c>
      <c r="E7" s="1" t="s">
        <v>59</v>
      </c>
      <c r="F7" s="1">
        <v>1</v>
      </c>
      <c r="G7" s="1"/>
      <c r="H7" s="1">
        <v>8</v>
      </c>
      <c r="I7" s="1">
        <v>24.84</v>
      </c>
      <c r="J7" s="1">
        <v>26</v>
      </c>
      <c r="K7" s="1">
        <v>1.1600000000000001</v>
      </c>
      <c r="L7" s="1">
        <v>6</v>
      </c>
      <c r="M7" s="1">
        <v>6</v>
      </c>
      <c r="N7" s="1">
        <f>Table2[[#This Row],[re_1_outer_flc]]-Table2[[#This Row],[re_1_inner_flc]]</f>
        <v>0</v>
      </c>
      <c r="O7" s="1">
        <v>6</v>
      </c>
      <c r="P7" s="1">
        <v>6</v>
      </c>
      <c r="Q7" s="1">
        <f>Table2[[#This Row],[re_2_outer_flc]]-Table2[[#This Row],[re_2_inner_flc]]</f>
        <v>0</v>
      </c>
      <c r="R7" s="1">
        <v>6</v>
      </c>
      <c r="S7" s="1">
        <v>6</v>
      </c>
      <c r="T7" s="1">
        <f>Table2[[#This Row],[re_3_outer_flc]]-Table2[[#This Row],[re_3_inner_flc]]</f>
        <v>0</v>
      </c>
      <c r="U7" s="1"/>
      <c r="V7" s="1" t="s">
        <v>60</v>
      </c>
      <c r="W7" s="1" t="s">
        <v>60</v>
      </c>
      <c r="X7" s="1" t="s">
        <v>60</v>
      </c>
      <c r="Y7" s="1" t="s">
        <v>60</v>
      </c>
      <c r="Z7" s="1" t="s">
        <v>60</v>
      </c>
      <c r="AA7" s="1" t="s">
        <v>60</v>
      </c>
      <c r="AB7" s="1" t="s">
        <v>60</v>
      </c>
      <c r="AC7" s="1" t="s">
        <v>60</v>
      </c>
      <c r="AD7" s="1" t="s">
        <v>60</v>
      </c>
      <c r="AE7" s="1" t="s">
        <v>60</v>
      </c>
      <c r="AF7" s="1" t="s">
        <v>60</v>
      </c>
      <c r="AG7" s="1" t="s">
        <v>60</v>
      </c>
    </row>
    <row r="8" spans="1:33" x14ac:dyDescent="0.2">
      <c r="A8" s="1">
        <v>7</v>
      </c>
      <c r="B8" s="1">
        <v>160</v>
      </c>
      <c r="C8" s="1" t="s">
        <v>57</v>
      </c>
      <c r="D8" s="1" t="s">
        <v>68</v>
      </c>
      <c r="E8" s="1" t="s">
        <v>59</v>
      </c>
      <c r="F8" s="1">
        <v>2</v>
      </c>
      <c r="G8" s="1"/>
      <c r="H8" s="1">
        <v>16</v>
      </c>
      <c r="I8" s="1">
        <v>12.64</v>
      </c>
      <c r="J8" s="1">
        <v>32.380000000000003</v>
      </c>
      <c r="K8" s="1">
        <v>19.740000000000002</v>
      </c>
      <c r="L8" s="1">
        <v>6</v>
      </c>
      <c r="M8" s="1">
        <v>7.14</v>
      </c>
      <c r="N8" s="1">
        <f>Table2[[#This Row],[re_1_outer_flc]]-Table2[[#This Row],[re_1_inner_flc]]</f>
        <v>1.1399999999999997</v>
      </c>
      <c r="O8" s="1">
        <v>6</v>
      </c>
      <c r="P8" s="1">
        <v>7.62</v>
      </c>
      <c r="Q8" s="1">
        <f>Table2[[#This Row],[re_2_outer_flc]]-Table2[[#This Row],[re_2_inner_flc]]</f>
        <v>1.62</v>
      </c>
      <c r="R8" s="1">
        <v>6</v>
      </c>
      <c r="S8" s="1">
        <v>8.1199999999999992</v>
      </c>
      <c r="T8" s="1">
        <f>Table2[[#This Row],[re_3_outer_flc]]-Table2[[#This Row],[re_3_inner_flc]]</f>
        <v>2.1199999999999992</v>
      </c>
      <c r="U8" s="1"/>
      <c r="V8" s="1" t="s">
        <v>60</v>
      </c>
      <c r="W8" s="1" t="s">
        <v>60</v>
      </c>
      <c r="X8" s="1" t="s">
        <v>60</v>
      </c>
      <c r="Y8" s="1" t="s">
        <v>60</v>
      </c>
      <c r="Z8" s="1" t="s">
        <v>64</v>
      </c>
      <c r="AA8" s="1" t="s">
        <v>64</v>
      </c>
      <c r="AB8" s="1" t="s">
        <v>60</v>
      </c>
      <c r="AC8" s="1" t="s">
        <v>60</v>
      </c>
      <c r="AD8" s="1" t="s">
        <v>60</v>
      </c>
      <c r="AE8" s="1" t="s">
        <v>60</v>
      </c>
      <c r="AF8" s="1" t="s">
        <v>64</v>
      </c>
      <c r="AG8" s="1" t="s">
        <v>64</v>
      </c>
    </row>
    <row r="9" spans="1:33" x14ac:dyDescent="0.2">
      <c r="A9" s="1">
        <v>8</v>
      </c>
      <c r="B9" s="1">
        <v>162</v>
      </c>
      <c r="C9" s="1" t="s">
        <v>57</v>
      </c>
      <c r="D9" s="1" t="s">
        <v>69</v>
      </c>
      <c r="E9" s="1" t="s">
        <v>59</v>
      </c>
      <c r="F9" s="1">
        <v>4</v>
      </c>
      <c r="G9" s="1"/>
      <c r="H9" s="1">
        <v>32</v>
      </c>
      <c r="I9" s="1">
        <v>8.6</v>
      </c>
      <c r="J9" s="1">
        <v>20.6</v>
      </c>
      <c r="K9" s="1">
        <v>12.000000000000002</v>
      </c>
      <c r="L9" s="1">
        <v>6</v>
      </c>
      <c r="M9" s="1">
        <v>6</v>
      </c>
      <c r="N9" s="1">
        <f>Table2[[#This Row],[re_1_outer_flc]]-Table2[[#This Row],[re_1_inner_flc]]</f>
        <v>0</v>
      </c>
      <c r="O9" s="1">
        <v>6</v>
      </c>
      <c r="P9" s="1">
        <v>6</v>
      </c>
      <c r="Q9" s="1">
        <f>Table2[[#This Row],[re_2_outer_flc]]-Table2[[#This Row],[re_2_inner_flc]]</f>
        <v>0</v>
      </c>
      <c r="R9" s="1">
        <v>6</v>
      </c>
      <c r="S9" s="1">
        <v>6</v>
      </c>
      <c r="T9" s="1">
        <f>Table2[[#This Row],[re_3_outer_flc]]-Table2[[#This Row],[re_3_inner_flc]]</f>
        <v>0</v>
      </c>
      <c r="U9" s="1"/>
      <c r="V9" s="1" t="s">
        <v>60</v>
      </c>
      <c r="W9" s="1" t="s">
        <v>60</v>
      </c>
      <c r="X9" s="1" t="s">
        <v>60</v>
      </c>
      <c r="Y9" s="1" t="s">
        <v>60</v>
      </c>
      <c r="Z9" s="1" t="s">
        <v>60</v>
      </c>
      <c r="AA9" s="1" t="s">
        <v>60</v>
      </c>
      <c r="AB9" s="1" t="s">
        <v>60</v>
      </c>
      <c r="AC9" s="1" t="s">
        <v>60</v>
      </c>
      <c r="AD9" s="1" t="s">
        <v>60</v>
      </c>
      <c r="AE9" s="1" t="s">
        <v>60</v>
      </c>
      <c r="AF9" s="1" t="s">
        <v>60</v>
      </c>
      <c r="AG9" s="1" t="s">
        <v>60</v>
      </c>
    </row>
    <row r="10" spans="1:33" x14ac:dyDescent="0.2">
      <c r="A10" s="1">
        <v>9</v>
      </c>
      <c r="B10" s="1">
        <v>169</v>
      </c>
      <c r="C10" s="1" t="s">
        <v>65</v>
      </c>
      <c r="D10" s="1" t="s">
        <v>70</v>
      </c>
      <c r="E10" s="1" t="s">
        <v>59</v>
      </c>
      <c r="F10" s="1">
        <v>4</v>
      </c>
      <c r="G10" s="1"/>
      <c r="H10" s="1">
        <v>32</v>
      </c>
      <c r="I10" s="1">
        <v>27.58</v>
      </c>
      <c r="J10" s="1">
        <v>28.28</v>
      </c>
      <c r="K10" s="1">
        <v>0.70000000000000284</v>
      </c>
      <c r="L10" s="1">
        <v>6</v>
      </c>
      <c r="M10" s="1">
        <v>7.46</v>
      </c>
      <c r="N10" s="1">
        <f>Table2[[#This Row],[re_1_outer_flc]]-Table2[[#This Row],[re_1_inner_flc]]</f>
        <v>1.46</v>
      </c>
      <c r="O10" s="1">
        <v>6</v>
      </c>
      <c r="P10" s="1">
        <v>6</v>
      </c>
      <c r="Q10" s="1">
        <f>Table2[[#This Row],[re_2_outer_flc]]-Table2[[#This Row],[re_2_inner_flc]]</f>
        <v>0</v>
      </c>
      <c r="R10" s="1">
        <v>6</v>
      </c>
      <c r="S10" s="1">
        <v>6</v>
      </c>
      <c r="T10" s="1">
        <f>Table2[[#This Row],[re_3_outer_flc]]-Table2[[#This Row],[re_3_inner_flc]]</f>
        <v>0</v>
      </c>
      <c r="U10" s="1"/>
      <c r="V10" s="1" t="s">
        <v>60</v>
      </c>
      <c r="W10" s="1" t="s">
        <v>60</v>
      </c>
      <c r="X10" s="1" t="s">
        <v>60</v>
      </c>
      <c r="Y10" s="1" t="s">
        <v>60</v>
      </c>
      <c r="Z10" s="1" t="s">
        <v>60</v>
      </c>
      <c r="AA10" s="1" t="s">
        <v>60</v>
      </c>
      <c r="AB10" s="1" t="s">
        <v>60</v>
      </c>
      <c r="AC10" s="1" t="s">
        <v>60</v>
      </c>
      <c r="AD10" s="1" t="s">
        <v>60</v>
      </c>
      <c r="AE10" s="1" t="s">
        <v>60</v>
      </c>
      <c r="AF10" s="1" t="s">
        <v>60</v>
      </c>
      <c r="AG10" s="1" t="s">
        <v>60</v>
      </c>
    </row>
    <row r="11" spans="1:33" x14ac:dyDescent="0.2">
      <c r="A11" s="1">
        <v>10</v>
      </c>
      <c r="B11" s="1">
        <v>174</v>
      </c>
      <c r="C11" s="1" t="s">
        <v>65</v>
      </c>
      <c r="D11" s="1" t="s">
        <v>71</v>
      </c>
      <c r="E11" s="1" t="s">
        <v>59</v>
      </c>
      <c r="F11" s="1">
        <v>1</v>
      </c>
      <c r="G11" s="1"/>
      <c r="H11" s="1">
        <v>8</v>
      </c>
      <c r="I11" s="1">
        <v>27.66</v>
      </c>
      <c r="J11" s="1">
        <v>29.22</v>
      </c>
      <c r="K11" s="1">
        <v>1.5599999999999987</v>
      </c>
      <c r="L11" s="1">
        <v>6</v>
      </c>
      <c r="M11" s="1">
        <v>6</v>
      </c>
      <c r="N11" s="1">
        <f>Table2[[#This Row],[re_1_outer_flc]]-Table2[[#This Row],[re_1_inner_flc]]</f>
        <v>0</v>
      </c>
      <c r="O11" s="1">
        <v>6</v>
      </c>
      <c r="P11" s="1">
        <v>6</v>
      </c>
      <c r="Q11" s="1">
        <f>Table2[[#This Row],[re_2_outer_flc]]-Table2[[#This Row],[re_2_inner_flc]]</f>
        <v>0</v>
      </c>
      <c r="R11" s="1">
        <v>6</v>
      </c>
      <c r="S11" s="1">
        <v>6</v>
      </c>
      <c r="T11" s="1">
        <f>Table2[[#This Row],[re_3_outer_flc]]-Table2[[#This Row],[re_3_inner_flc]]</f>
        <v>0</v>
      </c>
      <c r="U11" s="1"/>
      <c r="V11" s="1" t="s">
        <v>60</v>
      </c>
      <c r="W11" s="1" t="s">
        <v>60</v>
      </c>
      <c r="X11" s="1" t="s">
        <v>60</v>
      </c>
      <c r="Y11" s="1" t="s">
        <v>60</v>
      </c>
      <c r="Z11" s="1" t="s">
        <v>60</v>
      </c>
      <c r="AA11" s="1" t="s">
        <v>60</v>
      </c>
      <c r="AB11" s="1" t="s">
        <v>60</v>
      </c>
      <c r="AC11" s="1" t="s">
        <v>60</v>
      </c>
      <c r="AD11" s="1" t="s">
        <v>60</v>
      </c>
      <c r="AE11" s="1" t="s">
        <v>60</v>
      </c>
      <c r="AF11" s="1" t="s">
        <v>60</v>
      </c>
      <c r="AG11" s="1" t="s">
        <v>60</v>
      </c>
    </row>
    <row r="12" spans="1:33" x14ac:dyDescent="0.2">
      <c r="A12" s="1">
        <v>11</v>
      </c>
      <c r="B12" s="1">
        <v>196</v>
      </c>
      <c r="C12" s="1" t="s">
        <v>72</v>
      </c>
      <c r="D12" s="1" t="s">
        <v>73</v>
      </c>
      <c r="E12" s="1" t="s">
        <v>59</v>
      </c>
      <c r="F12" s="1">
        <v>4</v>
      </c>
      <c r="G12" s="1"/>
      <c r="H12" s="1">
        <v>32</v>
      </c>
      <c r="I12" s="1">
        <v>6</v>
      </c>
      <c r="J12" s="1">
        <v>6</v>
      </c>
      <c r="K12" s="1">
        <v>0</v>
      </c>
      <c r="L12" s="3">
        <v>6</v>
      </c>
      <c r="M12" s="3">
        <v>6</v>
      </c>
      <c r="N12" s="3">
        <f>Table2[[#This Row],[re_1_outer_flc]]-Table2[[#This Row],[re_1_inner_flc]]</f>
        <v>0</v>
      </c>
      <c r="O12" s="3">
        <v>6</v>
      </c>
      <c r="P12" s="3">
        <v>6</v>
      </c>
      <c r="Q12" s="3">
        <f>Table2[[#This Row],[re_2_outer_flc]]-Table2[[#This Row],[re_2_inner_flc]]</f>
        <v>0</v>
      </c>
      <c r="R12" s="3">
        <v>6</v>
      </c>
      <c r="S12" s="3">
        <v>6</v>
      </c>
      <c r="T12" s="1">
        <f>Table2[[#This Row],[re_3_outer_flc]]-Table2[[#This Row],[re_3_inner_flc]]</f>
        <v>0</v>
      </c>
      <c r="U12" s="1"/>
      <c r="V12" s="3" t="s">
        <v>60</v>
      </c>
      <c r="W12" s="3" t="s">
        <v>60</v>
      </c>
      <c r="X12" s="3" t="s">
        <v>60</v>
      </c>
      <c r="Y12" s="3" t="s">
        <v>60</v>
      </c>
      <c r="Z12" s="3" t="s">
        <v>60</v>
      </c>
      <c r="AA12" s="3" t="s">
        <v>60</v>
      </c>
      <c r="AB12" s="3" t="s">
        <v>60</v>
      </c>
      <c r="AC12" s="3" t="s">
        <v>60</v>
      </c>
      <c r="AD12" s="3" t="s">
        <v>60</v>
      </c>
      <c r="AE12" s="3" t="s">
        <v>60</v>
      </c>
      <c r="AF12" s="3" t="s">
        <v>60</v>
      </c>
      <c r="AG12" s="3" t="s">
        <v>60</v>
      </c>
    </row>
    <row r="13" spans="1:33" x14ac:dyDescent="0.2">
      <c r="A13" s="1">
        <v>12</v>
      </c>
      <c r="B13" s="1">
        <v>197</v>
      </c>
      <c r="C13" s="1" t="s">
        <v>72</v>
      </c>
      <c r="D13" s="1" t="s">
        <v>74</v>
      </c>
      <c r="E13" s="1" t="s">
        <v>59</v>
      </c>
      <c r="F13" s="1">
        <v>8</v>
      </c>
      <c r="G13" s="1"/>
      <c r="H13" s="1">
        <v>64</v>
      </c>
      <c r="I13" s="1">
        <v>6</v>
      </c>
      <c r="J13" s="1">
        <v>6</v>
      </c>
      <c r="K13" s="1">
        <v>0</v>
      </c>
      <c r="L13" s="1">
        <v>6</v>
      </c>
      <c r="M13" s="1">
        <v>6</v>
      </c>
      <c r="N13" s="1">
        <f>Table2[[#This Row],[re_1_outer_flc]]-Table2[[#This Row],[re_1_inner_flc]]</f>
        <v>0</v>
      </c>
      <c r="O13" s="1">
        <v>6</v>
      </c>
      <c r="P13" s="1">
        <v>6</v>
      </c>
      <c r="Q13" s="1">
        <f>Table2[[#This Row],[re_2_outer_flc]]-Table2[[#This Row],[re_2_inner_flc]]</f>
        <v>0</v>
      </c>
      <c r="R13" s="1">
        <v>6</v>
      </c>
      <c r="S13" s="1">
        <v>6</v>
      </c>
      <c r="T13" s="1">
        <f>Table2[[#This Row],[re_3_outer_flc]]-Table2[[#This Row],[re_3_inner_flc]]</f>
        <v>0</v>
      </c>
      <c r="U13" s="1"/>
      <c r="V13" s="3" t="s">
        <v>60</v>
      </c>
      <c r="W13" s="3" t="s">
        <v>60</v>
      </c>
      <c r="X13" s="3" t="s">
        <v>60</v>
      </c>
      <c r="Y13" s="3" t="s">
        <v>60</v>
      </c>
      <c r="Z13" s="3" t="s">
        <v>60</v>
      </c>
      <c r="AA13" s="3" t="s">
        <v>60</v>
      </c>
      <c r="AB13" s="3" t="s">
        <v>60</v>
      </c>
      <c r="AC13" s="3" t="s">
        <v>60</v>
      </c>
      <c r="AD13" s="3" t="s">
        <v>60</v>
      </c>
      <c r="AE13" s="3" t="s">
        <v>60</v>
      </c>
      <c r="AF13" s="3" t="s">
        <v>60</v>
      </c>
      <c r="AG13" s="3" t="s">
        <v>60</v>
      </c>
    </row>
    <row r="14" spans="1:33" x14ac:dyDescent="0.2">
      <c r="A14" s="1">
        <v>13</v>
      </c>
      <c r="B14" s="1">
        <v>198</v>
      </c>
      <c r="C14" s="1" t="s">
        <v>72</v>
      </c>
      <c r="D14" s="1" t="s">
        <v>75</v>
      </c>
      <c r="E14" s="1" t="s">
        <v>59</v>
      </c>
      <c r="F14" s="1">
        <v>64</v>
      </c>
      <c r="G14" s="1"/>
      <c r="H14" s="1">
        <v>512</v>
      </c>
      <c r="I14" s="1">
        <v>6</v>
      </c>
      <c r="J14" s="1">
        <v>6</v>
      </c>
      <c r="K14" s="1">
        <v>0</v>
      </c>
      <c r="L14" s="1">
        <v>6</v>
      </c>
      <c r="M14" s="1">
        <v>6</v>
      </c>
      <c r="N14" s="1">
        <f>Table2[[#This Row],[re_1_outer_flc]]-Table2[[#This Row],[re_1_inner_flc]]</f>
        <v>0</v>
      </c>
      <c r="O14" s="1">
        <v>6</v>
      </c>
      <c r="P14" s="1">
        <v>6</v>
      </c>
      <c r="Q14" s="1">
        <f>Table2[[#This Row],[re_2_outer_flc]]-Table2[[#This Row],[re_2_inner_flc]]</f>
        <v>0</v>
      </c>
      <c r="R14" s="1">
        <v>6</v>
      </c>
      <c r="S14" s="1">
        <v>6</v>
      </c>
      <c r="T14" s="1">
        <f>Table2[[#This Row],[re_3_outer_flc]]-Table2[[#This Row],[re_3_inner_flc]]</f>
        <v>0</v>
      </c>
      <c r="U14" s="1"/>
      <c r="V14" s="3" t="s">
        <v>60</v>
      </c>
      <c r="W14" s="3" t="s">
        <v>60</v>
      </c>
      <c r="X14" s="3" t="s">
        <v>60</v>
      </c>
      <c r="Y14" s="3" t="s">
        <v>60</v>
      </c>
      <c r="Z14" s="3" t="s">
        <v>60</v>
      </c>
      <c r="AA14" s="3" t="s">
        <v>60</v>
      </c>
      <c r="AB14" s="3" t="s">
        <v>60</v>
      </c>
      <c r="AC14" s="3" t="s">
        <v>60</v>
      </c>
      <c r="AD14" s="3" t="s">
        <v>60</v>
      </c>
      <c r="AE14" s="3" t="s">
        <v>60</v>
      </c>
      <c r="AF14" s="3" t="s">
        <v>60</v>
      </c>
      <c r="AG14" s="3" t="s">
        <v>60</v>
      </c>
    </row>
    <row r="15" spans="1:33" x14ac:dyDescent="0.2">
      <c r="A15" s="1">
        <v>14</v>
      </c>
      <c r="B15" s="1">
        <v>208</v>
      </c>
      <c r="C15" s="1" t="s">
        <v>57</v>
      </c>
      <c r="D15" s="1" t="s">
        <v>76</v>
      </c>
      <c r="E15" s="1" t="s">
        <v>59</v>
      </c>
      <c r="F15" s="1">
        <v>1</v>
      </c>
      <c r="G15" s="1"/>
      <c r="H15" s="1">
        <v>8</v>
      </c>
      <c r="I15" s="1">
        <v>10.38</v>
      </c>
      <c r="J15" s="1">
        <v>32.799999999999997</v>
      </c>
      <c r="K15" s="1">
        <v>22.419999999999995</v>
      </c>
      <c r="L15" s="1">
        <v>6</v>
      </c>
      <c r="M15" s="1">
        <v>6</v>
      </c>
      <c r="N15" s="1">
        <f>Table2[[#This Row],[re_1_outer_flc]]-Table2[[#This Row],[re_1_inner_flc]]</f>
        <v>0</v>
      </c>
      <c r="O15" s="1">
        <v>6</v>
      </c>
      <c r="P15" s="1">
        <v>6</v>
      </c>
      <c r="Q15" s="1">
        <f>Table2[[#This Row],[re_2_outer_flc]]-Table2[[#This Row],[re_2_inner_flc]]</f>
        <v>0</v>
      </c>
      <c r="R15" s="1">
        <v>6</v>
      </c>
      <c r="S15" s="1">
        <v>6</v>
      </c>
      <c r="T15" s="1">
        <f>Table2[[#This Row],[re_3_outer_flc]]-Table2[[#This Row],[re_3_inner_flc]]</f>
        <v>0</v>
      </c>
      <c r="U15" s="1"/>
      <c r="V15" s="1" t="s">
        <v>60</v>
      </c>
      <c r="W15" s="1" t="s">
        <v>60</v>
      </c>
      <c r="X15" s="1" t="s">
        <v>60</v>
      </c>
      <c r="Y15" s="1" t="s">
        <v>60</v>
      </c>
      <c r="Z15" s="1" t="s">
        <v>60</v>
      </c>
      <c r="AA15" s="1" t="s">
        <v>60</v>
      </c>
      <c r="AB15" s="1" t="s">
        <v>60</v>
      </c>
      <c r="AC15" s="1" t="s">
        <v>60</v>
      </c>
      <c r="AD15" s="1" t="s">
        <v>60</v>
      </c>
      <c r="AE15" s="1" t="s">
        <v>60</v>
      </c>
      <c r="AF15" s="1" t="s">
        <v>60</v>
      </c>
      <c r="AG15" s="1" t="s">
        <v>60</v>
      </c>
    </row>
    <row r="16" spans="1:33" x14ac:dyDescent="0.2">
      <c r="A16" s="1">
        <v>15</v>
      </c>
      <c r="B16" s="1">
        <v>213</v>
      </c>
      <c r="C16" s="1" t="s">
        <v>57</v>
      </c>
      <c r="D16" s="1" t="s">
        <v>77</v>
      </c>
      <c r="E16" s="1" t="s">
        <v>59</v>
      </c>
      <c r="F16" s="1">
        <v>8</v>
      </c>
      <c r="G16" s="1"/>
      <c r="H16" s="1">
        <v>64</v>
      </c>
      <c r="I16" s="1">
        <v>9.8800000000000008</v>
      </c>
      <c r="J16" s="1">
        <v>21.78</v>
      </c>
      <c r="K16" s="1">
        <v>11.9</v>
      </c>
      <c r="L16" s="1">
        <v>6</v>
      </c>
      <c r="M16" s="1">
        <v>6</v>
      </c>
      <c r="N16" s="1">
        <f>Table2[[#This Row],[re_1_outer_flc]]-Table2[[#This Row],[re_1_inner_flc]]</f>
        <v>0</v>
      </c>
      <c r="O16" s="1">
        <v>6</v>
      </c>
      <c r="P16" s="1">
        <v>6</v>
      </c>
      <c r="Q16" s="1">
        <f>Table2[[#This Row],[re_2_outer_flc]]-Table2[[#This Row],[re_2_inner_flc]]</f>
        <v>0</v>
      </c>
      <c r="R16" s="1">
        <v>6</v>
      </c>
      <c r="S16" s="1">
        <v>6</v>
      </c>
      <c r="T16" s="1">
        <f>Table2[[#This Row],[re_3_outer_flc]]-Table2[[#This Row],[re_3_inner_flc]]</f>
        <v>0</v>
      </c>
      <c r="U16" s="1"/>
      <c r="V16" s="1" t="s">
        <v>60</v>
      </c>
      <c r="W16" s="1" t="s">
        <v>60</v>
      </c>
      <c r="X16" s="1" t="s">
        <v>60</v>
      </c>
      <c r="Y16" s="1" t="s">
        <v>60</v>
      </c>
      <c r="Z16" s="1" t="s">
        <v>60</v>
      </c>
      <c r="AA16" s="1" t="s">
        <v>60</v>
      </c>
      <c r="AB16" s="1" t="s">
        <v>60</v>
      </c>
      <c r="AC16" s="1" t="s">
        <v>60</v>
      </c>
      <c r="AD16" s="1" t="s">
        <v>60</v>
      </c>
      <c r="AE16" s="1" t="s">
        <v>60</v>
      </c>
      <c r="AF16" s="1" t="s">
        <v>60</v>
      </c>
      <c r="AG16" s="1" t="s">
        <v>60</v>
      </c>
    </row>
    <row r="17" spans="1:33" x14ac:dyDescent="0.2">
      <c r="A17" s="1">
        <v>16</v>
      </c>
      <c r="B17" s="1">
        <v>215</v>
      </c>
      <c r="C17" s="1" t="s">
        <v>57</v>
      </c>
      <c r="D17" s="1" t="s">
        <v>79</v>
      </c>
      <c r="E17" s="1" t="s">
        <v>59</v>
      </c>
      <c r="F17" s="1">
        <v>1</v>
      </c>
      <c r="G17" s="1"/>
      <c r="H17" s="1">
        <v>8</v>
      </c>
      <c r="I17" s="1">
        <v>14.48</v>
      </c>
      <c r="J17" s="1">
        <v>24.7</v>
      </c>
      <c r="K17" s="1">
        <v>10.219999999999999</v>
      </c>
      <c r="L17" s="1">
        <v>6</v>
      </c>
      <c r="M17" s="1">
        <v>6</v>
      </c>
      <c r="N17" s="1">
        <f>Table2[[#This Row],[re_1_outer_flc]]-Table2[[#This Row],[re_1_inner_flc]]</f>
        <v>0</v>
      </c>
      <c r="O17" s="1">
        <v>6</v>
      </c>
      <c r="P17" s="1">
        <v>6</v>
      </c>
      <c r="Q17" s="1">
        <f>Table2[[#This Row],[re_2_outer_flc]]-Table2[[#This Row],[re_2_inner_flc]]</f>
        <v>0</v>
      </c>
      <c r="R17" s="1">
        <v>6</v>
      </c>
      <c r="S17" s="1">
        <v>6</v>
      </c>
      <c r="T17" s="1">
        <f>Table2[[#This Row],[re_3_outer_flc]]-Table2[[#This Row],[re_3_inner_flc]]</f>
        <v>0</v>
      </c>
      <c r="U17" s="1"/>
      <c r="V17" s="1" t="s">
        <v>60</v>
      </c>
      <c r="W17" s="1" t="s">
        <v>60</v>
      </c>
      <c r="X17" s="1" t="s">
        <v>60</v>
      </c>
      <c r="Y17" s="1" t="s">
        <v>60</v>
      </c>
      <c r="Z17" s="1" t="s">
        <v>60</v>
      </c>
      <c r="AA17" s="1" t="s">
        <v>60</v>
      </c>
      <c r="AB17" s="1" t="s">
        <v>60</v>
      </c>
      <c r="AC17" s="1" t="s">
        <v>60</v>
      </c>
      <c r="AD17" s="1" t="s">
        <v>60</v>
      </c>
      <c r="AE17" s="1" t="s">
        <v>60</v>
      </c>
      <c r="AF17" s="1" t="s">
        <v>60</v>
      </c>
      <c r="AG17" s="1" t="s">
        <v>60</v>
      </c>
    </row>
    <row r="18" spans="1:33" x14ac:dyDescent="0.2">
      <c r="A18" s="1">
        <v>17</v>
      </c>
      <c r="B18" s="1">
        <v>217</v>
      </c>
      <c r="C18" s="1" t="s">
        <v>57</v>
      </c>
      <c r="D18" s="1" t="s">
        <v>80</v>
      </c>
      <c r="E18" s="1" t="s">
        <v>59</v>
      </c>
      <c r="F18" s="1">
        <v>1</v>
      </c>
      <c r="G18" s="1"/>
      <c r="H18" s="1">
        <v>8</v>
      </c>
      <c r="I18" s="1">
        <v>22.62</v>
      </c>
      <c r="J18" s="1">
        <v>34.96</v>
      </c>
      <c r="K18" s="1">
        <v>12.34</v>
      </c>
      <c r="L18" s="1">
        <v>6</v>
      </c>
      <c r="M18" s="1">
        <v>10.58</v>
      </c>
      <c r="N18" s="1">
        <f>Table2[[#This Row],[re_1_outer_flc]]-Table2[[#This Row],[re_1_inner_flc]]</f>
        <v>4.58</v>
      </c>
      <c r="O18" s="1">
        <v>6</v>
      </c>
      <c r="P18" s="1">
        <v>10.06</v>
      </c>
      <c r="Q18" s="1">
        <f>Table2[[#This Row],[re_2_outer_flc]]-Table2[[#This Row],[re_2_inner_flc]]</f>
        <v>4.0600000000000005</v>
      </c>
      <c r="R18" s="1">
        <v>6</v>
      </c>
      <c r="S18" s="1">
        <v>12.36</v>
      </c>
      <c r="T18" s="1">
        <f>Table2[[#This Row],[re_3_outer_flc]]-Table2[[#This Row],[re_3_inner_flc]]</f>
        <v>6.3599999999999994</v>
      </c>
      <c r="U18" s="1"/>
      <c r="V18" s="1" t="s">
        <v>60</v>
      </c>
      <c r="W18" s="1" t="s">
        <v>60</v>
      </c>
      <c r="X18" s="1" t="s">
        <v>60</v>
      </c>
      <c r="Y18" s="1" t="s">
        <v>60</v>
      </c>
      <c r="Z18" s="1">
        <v>622</v>
      </c>
      <c r="AA18" s="1">
        <v>304</v>
      </c>
      <c r="AB18" s="1" t="s">
        <v>60</v>
      </c>
      <c r="AC18" s="1" t="s">
        <v>60</v>
      </c>
      <c r="AD18" s="1" t="s">
        <v>60</v>
      </c>
      <c r="AE18" s="1" t="s">
        <v>60</v>
      </c>
      <c r="AF18" s="1">
        <v>622</v>
      </c>
      <c r="AG18" s="1">
        <v>304</v>
      </c>
    </row>
    <row r="19" spans="1:33" x14ac:dyDescent="0.2">
      <c r="A19" s="1">
        <v>18</v>
      </c>
      <c r="B19" s="1">
        <v>225</v>
      </c>
      <c r="C19" s="1" t="s">
        <v>65</v>
      </c>
      <c r="D19" s="1" t="s">
        <v>81</v>
      </c>
      <c r="E19" s="1" t="s">
        <v>59</v>
      </c>
      <c r="F19" s="1">
        <v>4</v>
      </c>
      <c r="G19" s="1"/>
      <c r="H19" s="1">
        <v>32</v>
      </c>
      <c r="I19" s="1">
        <v>26.56</v>
      </c>
      <c r="J19" s="1">
        <v>26.8</v>
      </c>
      <c r="K19" s="1">
        <v>0.24000000000000199</v>
      </c>
      <c r="L19" s="1">
        <v>6</v>
      </c>
      <c r="M19" s="1">
        <v>25.32</v>
      </c>
      <c r="N19" s="1">
        <f>Table2[[#This Row],[re_1_outer_flc]]-Table2[[#This Row],[re_1_inner_flc]]</f>
        <v>19.32</v>
      </c>
      <c r="O19" s="1">
        <v>6</v>
      </c>
      <c r="P19" s="1">
        <v>23.5</v>
      </c>
      <c r="Q19" s="1">
        <f>Table2[[#This Row],[re_2_outer_flc]]-Table2[[#This Row],[re_2_inner_flc]]</f>
        <v>17.5</v>
      </c>
      <c r="R19" s="1">
        <v>6</v>
      </c>
      <c r="S19" s="1">
        <v>25.7</v>
      </c>
      <c r="T19" s="1">
        <f>Table2[[#This Row],[re_3_outer_flc]]-Table2[[#This Row],[re_3_inner_flc]]</f>
        <v>19.7</v>
      </c>
      <c r="U19" s="1"/>
      <c r="V19" s="1" t="s">
        <v>60</v>
      </c>
      <c r="W19" s="1" t="s">
        <v>60</v>
      </c>
      <c r="X19" s="1" t="s">
        <v>60</v>
      </c>
      <c r="Y19" s="1" t="s">
        <v>60</v>
      </c>
      <c r="Z19" s="1" t="s">
        <v>60</v>
      </c>
      <c r="AA19" s="1" t="s">
        <v>64</v>
      </c>
      <c r="AB19" s="1" t="s">
        <v>60</v>
      </c>
      <c r="AC19" s="1" t="s">
        <v>60</v>
      </c>
      <c r="AD19" s="1" t="s">
        <v>60</v>
      </c>
      <c r="AE19" s="1" t="s">
        <v>60</v>
      </c>
      <c r="AF19" s="1" t="s">
        <v>60</v>
      </c>
      <c r="AG19" s="1" t="s">
        <v>64</v>
      </c>
    </row>
    <row r="20" spans="1:33" x14ac:dyDescent="0.2">
      <c r="A20" s="1">
        <v>19</v>
      </c>
      <c r="B20" s="1">
        <v>226</v>
      </c>
      <c r="C20" s="1" t="s">
        <v>65</v>
      </c>
      <c r="D20" s="1" t="s">
        <v>82</v>
      </c>
      <c r="E20" s="1" t="s">
        <v>59</v>
      </c>
      <c r="F20" s="1">
        <v>1</v>
      </c>
      <c r="G20" s="1"/>
      <c r="H20" s="1">
        <v>8</v>
      </c>
      <c r="I20" s="1">
        <v>26.56</v>
      </c>
      <c r="J20" s="1">
        <v>32.14</v>
      </c>
      <c r="K20" s="1">
        <v>5.5800000000000018</v>
      </c>
      <c r="L20" s="1">
        <v>6</v>
      </c>
      <c r="M20" s="1">
        <v>6</v>
      </c>
      <c r="N20" s="1">
        <f>Table2[[#This Row],[re_1_outer_flc]]-Table2[[#This Row],[re_1_inner_flc]]</f>
        <v>0</v>
      </c>
      <c r="O20" s="1">
        <v>6</v>
      </c>
      <c r="P20" s="1">
        <v>6</v>
      </c>
      <c r="Q20" s="1">
        <f>Table2[[#This Row],[re_2_outer_flc]]-Table2[[#This Row],[re_2_inner_flc]]</f>
        <v>0</v>
      </c>
      <c r="R20" s="1">
        <v>6</v>
      </c>
      <c r="S20" s="1">
        <v>6</v>
      </c>
      <c r="T20" s="1">
        <f>Table2[[#This Row],[re_3_outer_flc]]-Table2[[#This Row],[re_3_inner_flc]]</f>
        <v>0</v>
      </c>
      <c r="U20" s="1"/>
      <c r="V20" s="1" t="s">
        <v>60</v>
      </c>
      <c r="W20" s="1" t="s">
        <v>60</v>
      </c>
      <c r="X20" s="1" t="s">
        <v>60</v>
      </c>
      <c r="Y20" s="1" t="s">
        <v>60</v>
      </c>
      <c r="Z20" s="1" t="s">
        <v>60</v>
      </c>
      <c r="AA20" s="1" t="s">
        <v>64</v>
      </c>
      <c r="AB20" s="1" t="s">
        <v>60</v>
      </c>
      <c r="AC20" s="1" t="s">
        <v>60</v>
      </c>
      <c r="AD20" s="1" t="s">
        <v>60</v>
      </c>
      <c r="AE20" s="1" t="s">
        <v>60</v>
      </c>
      <c r="AF20" s="1" t="s">
        <v>60</v>
      </c>
      <c r="AG20" s="1">
        <v>62</v>
      </c>
    </row>
    <row r="21" spans="1:33" x14ac:dyDescent="0.2">
      <c r="A21" s="1">
        <v>20</v>
      </c>
      <c r="B21" s="1" t="s">
        <v>83</v>
      </c>
      <c r="C21" s="1" t="s">
        <v>84</v>
      </c>
      <c r="D21" s="1" t="s">
        <v>85</v>
      </c>
      <c r="E21" s="1" t="s">
        <v>59</v>
      </c>
      <c r="F21" s="1"/>
      <c r="G21" s="1">
        <v>8</v>
      </c>
      <c r="H21" s="1">
        <v>64</v>
      </c>
      <c r="I21" s="1">
        <v>18.38</v>
      </c>
      <c r="J21" s="1">
        <v>21.62</v>
      </c>
      <c r="K21" s="1">
        <v>3.24</v>
      </c>
      <c r="L21" s="1">
        <v>6</v>
      </c>
      <c r="M21" s="1">
        <v>6</v>
      </c>
      <c r="N21" s="1">
        <f>Table2[[#This Row],[re_1_outer_flc]]-Table2[[#This Row],[re_1_inner_flc]]</f>
        <v>0</v>
      </c>
      <c r="O21" s="1">
        <v>6</v>
      </c>
      <c r="P21" s="1">
        <v>6</v>
      </c>
      <c r="Q21" s="1">
        <f>Table2[[#This Row],[re_2_outer_flc]]-Table2[[#This Row],[re_2_inner_flc]]</f>
        <v>0</v>
      </c>
      <c r="R21" s="1">
        <v>6</v>
      </c>
      <c r="S21" s="1">
        <v>6</v>
      </c>
      <c r="T21" s="1">
        <f>Table2[[#This Row],[re_3_outer_flc]]-Table2[[#This Row],[re_3_inner_flc]]</f>
        <v>0</v>
      </c>
      <c r="U21" s="1"/>
      <c r="V21" s="1" t="s">
        <v>60</v>
      </c>
      <c r="W21" s="1" t="s">
        <v>60</v>
      </c>
      <c r="X21" s="1" t="s">
        <v>60</v>
      </c>
      <c r="Y21" s="1" t="s">
        <v>60</v>
      </c>
      <c r="Z21" s="1" t="s">
        <v>60</v>
      </c>
      <c r="AA21" s="1" t="s">
        <v>60</v>
      </c>
      <c r="AB21" s="1" t="s">
        <v>60</v>
      </c>
      <c r="AC21" s="1" t="s">
        <v>60</v>
      </c>
      <c r="AD21" s="1" t="s">
        <v>60</v>
      </c>
      <c r="AE21" s="1" t="s">
        <v>60</v>
      </c>
      <c r="AF21" s="1" t="s">
        <v>60</v>
      </c>
      <c r="AG21" s="1" t="s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CCCE-3461-3749-8AE0-45016A2826B7}">
  <dimension ref="A1:AG21"/>
  <sheetViews>
    <sheetView zoomScale="150" zoomScaleNormal="150" workbookViewId="0">
      <selection activeCell="D31" sqref="D31"/>
    </sheetView>
  </sheetViews>
  <sheetFormatPr baseColWidth="10" defaultRowHeight="16" x14ac:dyDescent="0.2"/>
  <cols>
    <col min="1" max="1" width="14.1640625" bestFit="1" customWidth="1"/>
    <col min="2" max="2" width="8" bestFit="1" customWidth="1"/>
    <col min="3" max="3" width="11.1640625" bestFit="1" customWidth="1"/>
    <col min="4" max="4" width="14.1640625" bestFit="1" customWidth="1"/>
    <col min="5" max="5" width="15.1640625" bestFit="1" customWidth="1"/>
    <col min="6" max="6" width="17.83203125" bestFit="1" customWidth="1"/>
    <col min="7" max="7" width="14.5" bestFit="1" customWidth="1"/>
    <col min="8" max="8" width="12.5" bestFit="1" customWidth="1"/>
    <col min="9" max="9" width="16.33203125" bestFit="1" customWidth="1"/>
    <col min="10" max="10" width="16.5" bestFit="1" customWidth="1"/>
    <col min="11" max="11" width="13.33203125" bestFit="1" customWidth="1"/>
    <col min="12" max="12" width="17.6640625" bestFit="1" customWidth="1"/>
    <col min="13" max="13" width="17.83203125" bestFit="1" customWidth="1"/>
    <col min="14" max="14" width="14.6640625" bestFit="1" customWidth="1"/>
    <col min="15" max="15" width="17.6640625" bestFit="1" customWidth="1"/>
    <col min="16" max="16" width="17.83203125" bestFit="1" customWidth="1"/>
    <col min="17" max="17" width="14.6640625" bestFit="1" customWidth="1"/>
    <col min="18" max="18" width="17.6640625" bestFit="1" customWidth="1"/>
    <col min="19" max="19" width="17.83203125" bestFit="1" customWidth="1"/>
    <col min="20" max="20" width="14.6640625" bestFit="1" customWidth="1"/>
    <col min="21" max="21" width="11" customWidth="1"/>
    <col min="22" max="23" width="16.5" bestFit="1" customWidth="1"/>
    <col min="24" max="27" width="17.5" bestFit="1" customWidth="1"/>
    <col min="28" max="29" width="16.5" bestFit="1" customWidth="1"/>
    <col min="30" max="33" width="17.5" bestFit="1" customWidth="1"/>
  </cols>
  <sheetData>
    <row r="1" spans="1:3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26</v>
      </c>
      <c r="V1" s="4" t="s">
        <v>86</v>
      </c>
      <c r="W1" s="4" t="s">
        <v>90</v>
      </c>
      <c r="X1" s="4" t="s">
        <v>88</v>
      </c>
      <c r="Y1" s="4" t="s">
        <v>91</v>
      </c>
      <c r="Z1" s="4" t="s">
        <v>89</v>
      </c>
      <c r="AA1" s="4" t="s">
        <v>87</v>
      </c>
      <c r="AB1" s="4" t="s">
        <v>92</v>
      </c>
      <c r="AC1" s="4" t="s">
        <v>93</v>
      </c>
      <c r="AD1" s="4" t="s">
        <v>94</v>
      </c>
      <c r="AE1" s="4" t="s">
        <v>95</v>
      </c>
      <c r="AF1" s="4" t="s">
        <v>96</v>
      </c>
      <c r="AG1" s="4" t="s">
        <v>97</v>
      </c>
    </row>
    <row r="2" spans="1:33" x14ac:dyDescent="0.2">
      <c r="A2" s="1">
        <v>1</v>
      </c>
      <c r="B2" s="1">
        <v>101</v>
      </c>
      <c r="C2" s="1" t="s">
        <v>57</v>
      </c>
      <c r="D2" s="1" t="s">
        <v>58</v>
      </c>
      <c r="E2" s="1" t="s">
        <v>59</v>
      </c>
      <c r="F2" s="1">
        <v>2</v>
      </c>
      <c r="G2" s="1"/>
      <c r="H2" s="1">
        <v>16</v>
      </c>
      <c r="I2" s="1">
        <v>6</v>
      </c>
      <c r="J2" s="1">
        <v>15.48</v>
      </c>
      <c r="K2" s="1">
        <v>9.48</v>
      </c>
      <c r="L2" s="3">
        <v>9.6</v>
      </c>
      <c r="M2" s="3">
        <v>24.12</v>
      </c>
      <c r="N2" s="1">
        <f>Table24[[#This Row],[re_1_outer_flc]]-Table24[[#This Row],[re_1_inner_flc]]</f>
        <v>14.520000000000001</v>
      </c>
      <c r="O2" s="1">
        <v>20.64</v>
      </c>
      <c r="P2" s="1">
        <v>28.74</v>
      </c>
      <c r="Q2" s="1">
        <f>Table24[[#This Row],[re_2_outer_flc]]-Table24[[#This Row],[re_2_inner_flc]]</f>
        <v>8.0999999999999979</v>
      </c>
      <c r="R2" s="1">
        <v>14.92</v>
      </c>
      <c r="S2" s="3">
        <v>26.88</v>
      </c>
      <c r="T2" s="3">
        <f>Table24[[#This Row],[re_3_outer_flc]]-Table24[[#This Row],[re_3_inner_flc]]</f>
        <v>11.959999999999999</v>
      </c>
      <c r="U2" s="3"/>
      <c r="V2" s="6" t="s">
        <v>60</v>
      </c>
      <c r="W2" s="6" t="s">
        <v>60</v>
      </c>
      <c r="X2" s="6">
        <v>388</v>
      </c>
      <c r="Y2" s="6" t="s">
        <v>64</v>
      </c>
      <c r="Z2" s="6">
        <v>0</v>
      </c>
      <c r="AA2" s="6">
        <v>0</v>
      </c>
      <c r="AB2" s="6" t="s">
        <v>60</v>
      </c>
      <c r="AC2" s="6" t="s">
        <v>60</v>
      </c>
      <c r="AD2" s="6">
        <v>392</v>
      </c>
      <c r="AE2" s="6">
        <v>32</v>
      </c>
      <c r="AF2" s="6">
        <v>0</v>
      </c>
      <c r="AG2" s="6">
        <v>0</v>
      </c>
    </row>
    <row r="3" spans="1:33" x14ac:dyDescent="0.2">
      <c r="A3" s="1">
        <v>2</v>
      </c>
      <c r="B3" s="1">
        <v>106</v>
      </c>
      <c r="C3" s="1" t="s">
        <v>57</v>
      </c>
      <c r="D3" s="1" t="s">
        <v>61</v>
      </c>
      <c r="E3" s="1" t="s">
        <v>59</v>
      </c>
      <c r="F3" s="1">
        <v>4</v>
      </c>
      <c r="G3" s="1"/>
      <c r="H3" s="1">
        <v>32</v>
      </c>
      <c r="I3" s="1">
        <v>16.82</v>
      </c>
      <c r="J3" s="1">
        <v>28.5</v>
      </c>
      <c r="K3" s="1">
        <v>11.68</v>
      </c>
      <c r="L3" s="3">
        <v>21.08</v>
      </c>
      <c r="M3" s="3">
        <v>35.9</v>
      </c>
      <c r="N3" s="1">
        <f>Table24[[#This Row],[re_1_outer_flc]]-Table24[[#This Row],[re_1_inner_flc]]</f>
        <v>14.82</v>
      </c>
      <c r="O3" s="3">
        <v>23.04</v>
      </c>
      <c r="P3" s="3">
        <v>33.44</v>
      </c>
      <c r="Q3" s="1">
        <f>Table24[[#This Row],[re_2_outer_flc]]-Table24[[#This Row],[re_2_inner_flc]]</f>
        <v>10.399999999999999</v>
      </c>
      <c r="R3" s="3">
        <v>27.16</v>
      </c>
      <c r="S3" s="3">
        <v>36.799999999999997</v>
      </c>
      <c r="T3" s="3">
        <f>Table24[[#This Row],[re_3_outer_flc]]-Table24[[#This Row],[re_3_inner_flc]]</f>
        <v>9.639999999999997</v>
      </c>
      <c r="U3" s="3"/>
      <c r="V3" s="6" t="s">
        <v>60</v>
      </c>
      <c r="W3" s="6">
        <v>194</v>
      </c>
      <c r="X3" s="6" t="s">
        <v>64</v>
      </c>
      <c r="Y3" s="6">
        <v>0</v>
      </c>
      <c r="Z3" s="6">
        <v>0</v>
      </c>
      <c r="AA3" s="6">
        <v>0</v>
      </c>
      <c r="AB3" s="6" t="s">
        <v>60</v>
      </c>
      <c r="AC3" s="6">
        <v>201</v>
      </c>
      <c r="AD3" s="6">
        <v>4</v>
      </c>
      <c r="AE3" s="6">
        <v>0</v>
      </c>
      <c r="AF3" s="6">
        <v>0</v>
      </c>
      <c r="AG3" s="6">
        <v>0</v>
      </c>
    </row>
    <row r="4" spans="1:33" x14ac:dyDescent="0.2">
      <c r="A4" s="1">
        <v>3</v>
      </c>
      <c r="B4" s="1">
        <v>126</v>
      </c>
      <c r="C4" s="1" t="s">
        <v>57</v>
      </c>
      <c r="D4" s="1" t="s">
        <v>62</v>
      </c>
      <c r="E4" s="1" t="s">
        <v>59</v>
      </c>
      <c r="F4" s="1">
        <v>1</v>
      </c>
      <c r="G4" s="1"/>
      <c r="H4" s="1">
        <v>8</v>
      </c>
      <c r="I4" s="1">
        <v>11.98</v>
      </c>
      <c r="J4" s="1">
        <v>25.7</v>
      </c>
      <c r="K4" s="1">
        <v>13.719999999999999</v>
      </c>
      <c r="L4" s="1">
        <v>8.2200000000000006</v>
      </c>
      <c r="M4" s="1">
        <v>18.82</v>
      </c>
      <c r="N4" s="1">
        <f>Table24[[#This Row],[re_1_outer_flc]]-Table24[[#This Row],[re_1_inner_flc]]</f>
        <v>10.6</v>
      </c>
      <c r="O4" s="3">
        <v>9.52</v>
      </c>
      <c r="P4" s="3">
        <v>20.100000000000001</v>
      </c>
      <c r="Q4" s="1">
        <f>Table24[[#This Row],[re_2_outer_flc]]-Table24[[#This Row],[re_2_inner_flc]]</f>
        <v>10.580000000000002</v>
      </c>
      <c r="R4" s="3">
        <v>9</v>
      </c>
      <c r="S4" s="1">
        <v>19.52</v>
      </c>
      <c r="T4" s="1">
        <f>Table24[[#This Row],[re_3_outer_flc]]-Table24[[#This Row],[re_3_inner_flc]]</f>
        <v>10.52</v>
      </c>
      <c r="U4" s="1"/>
      <c r="V4" s="6" t="s">
        <v>60</v>
      </c>
      <c r="W4" s="6" t="s">
        <v>60</v>
      </c>
      <c r="X4" s="6">
        <v>152</v>
      </c>
      <c r="Y4" s="6">
        <v>36</v>
      </c>
      <c r="Z4" s="6" t="s">
        <v>64</v>
      </c>
      <c r="AA4" s="6">
        <v>0</v>
      </c>
      <c r="AB4" s="6" t="s">
        <v>60</v>
      </c>
      <c r="AC4" s="6" t="s">
        <v>60</v>
      </c>
      <c r="AD4" s="6">
        <v>203</v>
      </c>
      <c r="AE4" s="6">
        <v>52</v>
      </c>
      <c r="AF4" s="6">
        <v>2</v>
      </c>
      <c r="AG4" s="6">
        <v>0</v>
      </c>
    </row>
    <row r="5" spans="1:33" x14ac:dyDescent="0.2">
      <c r="A5" s="1">
        <v>4</v>
      </c>
      <c r="B5" s="1">
        <v>128</v>
      </c>
      <c r="C5" s="1" t="s">
        <v>57</v>
      </c>
      <c r="D5" s="1" t="s">
        <v>63</v>
      </c>
      <c r="E5" s="1" t="s">
        <v>59</v>
      </c>
      <c r="F5" s="1"/>
      <c r="G5" s="1">
        <v>2</v>
      </c>
      <c r="H5" s="1">
        <v>16</v>
      </c>
      <c r="I5" s="1">
        <v>15.02</v>
      </c>
      <c r="J5" s="1">
        <v>27.5</v>
      </c>
      <c r="K5" s="1">
        <v>12.48</v>
      </c>
      <c r="L5" s="1">
        <v>18.239999999999998</v>
      </c>
      <c r="M5" s="1">
        <v>25.08</v>
      </c>
      <c r="N5" s="1">
        <f>Table24[[#This Row],[re_1_outer_flc]]-Table24[[#This Row],[re_1_inner_flc]]</f>
        <v>6.84</v>
      </c>
      <c r="O5" s="3">
        <v>22.42</v>
      </c>
      <c r="P5" s="3">
        <v>28.72</v>
      </c>
      <c r="Q5" s="1">
        <f>Table24[[#This Row],[re_2_outer_flc]]-Table24[[#This Row],[re_2_inner_flc]]</f>
        <v>6.2999999999999972</v>
      </c>
      <c r="R5" s="3">
        <v>21.52</v>
      </c>
      <c r="S5" s="1">
        <v>29.8</v>
      </c>
      <c r="T5" s="1">
        <f>Table24[[#This Row],[re_3_outer_flc]]-Table24[[#This Row],[re_3_inner_flc]]</f>
        <v>8.2800000000000011</v>
      </c>
      <c r="U5" s="1"/>
      <c r="V5" s="6" t="s">
        <v>60</v>
      </c>
      <c r="W5" s="6">
        <v>410</v>
      </c>
      <c r="X5" s="6">
        <v>17</v>
      </c>
      <c r="Y5" s="6">
        <v>0</v>
      </c>
      <c r="Z5" s="6">
        <v>0</v>
      </c>
      <c r="AA5" s="6">
        <v>0</v>
      </c>
      <c r="AB5" s="6" t="s">
        <v>60</v>
      </c>
      <c r="AC5" s="6">
        <v>415</v>
      </c>
      <c r="AD5" s="6">
        <v>25</v>
      </c>
      <c r="AE5" s="6">
        <v>1</v>
      </c>
      <c r="AF5" s="6">
        <v>0</v>
      </c>
      <c r="AG5" s="6">
        <v>0</v>
      </c>
    </row>
    <row r="6" spans="1:33" x14ac:dyDescent="0.2">
      <c r="A6" s="1">
        <v>5</v>
      </c>
      <c r="B6" s="1">
        <v>147</v>
      </c>
      <c r="C6" s="1" t="s">
        <v>65</v>
      </c>
      <c r="D6" s="1" t="s">
        <v>66</v>
      </c>
      <c r="E6" s="1" t="s">
        <v>59</v>
      </c>
      <c r="F6" s="1">
        <v>4</v>
      </c>
      <c r="G6" s="1"/>
      <c r="H6" s="1">
        <v>32</v>
      </c>
      <c r="I6" s="1">
        <v>20</v>
      </c>
      <c r="J6" s="1">
        <v>21.18</v>
      </c>
      <c r="K6" s="1">
        <v>1.1799999999999997</v>
      </c>
      <c r="L6" s="1">
        <v>9.6999999999999993</v>
      </c>
      <c r="M6" s="1">
        <v>16.079999999999998</v>
      </c>
      <c r="N6" s="1">
        <f>Table24[[#This Row],[re_1_outer_flc]]-Table24[[#This Row],[re_1_inner_flc]]</f>
        <v>6.379999999999999</v>
      </c>
      <c r="O6" s="3">
        <v>20.100000000000001</v>
      </c>
      <c r="P6" s="3">
        <v>23.74</v>
      </c>
      <c r="Q6" s="1">
        <f>Table24[[#This Row],[re_2_outer_flc]]-Table24[[#This Row],[re_2_inner_flc]]</f>
        <v>3.639999999999997</v>
      </c>
      <c r="R6" s="3">
        <v>10.74</v>
      </c>
      <c r="S6" s="1">
        <v>19.82</v>
      </c>
      <c r="T6" s="1">
        <f>Table24[[#This Row],[re_3_outer_flc]]-Table24[[#This Row],[re_3_inner_flc]]</f>
        <v>9.08</v>
      </c>
      <c r="U6" s="1"/>
      <c r="V6" s="6" t="s">
        <v>60</v>
      </c>
      <c r="W6" s="6" t="s">
        <v>60</v>
      </c>
      <c r="X6" s="6" t="s">
        <v>60</v>
      </c>
      <c r="Y6" s="6">
        <v>392</v>
      </c>
      <c r="Z6" s="6" t="s">
        <v>64</v>
      </c>
      <c r="AA6" s="6">
        <v>0</v>
      </c>
      <c r="AB6" s="6" t="s">
        <v>60</v>
      </c>
      <c r="AC6" s="6" t="s">
        <v>60</v>
      </c>
      <c r="AD6" s="6" t="s">
        <v>60</v>
      </c>
      <c r="AE6" s="6">
        <v>440</v>
      </c>
      <c r="AF6" s="6" t="s">
        <v>64</v>
      </c>
      <c r="AG6" s="6">
        <v>0</v>
      </c>
    </row>
    <row r="7" spans="1:33" x14ac:dyDescent="0.2">
      <c r="A7" s="1">
        <v>6</v>
      </c>
      <c r="B7" s="1">
        <v>150</v>
      </c>
      <c r="C7" s="1" t="s">
        <v>65</v>
      </c>
      <c r="D7" s="1" t="s">
        <v>67</v>
      </c>
      <c r="E7" s="1" t="s">
        <v>59</v>
      </c>
      <c r="F7" s="1">
        <v>1</v>
      </c>
      <c r="G7" s="1"/>
      <c r="H7" s="1">
        <v>8</v>
      </c>
      <c r="I7" s="1">
        <v>24.84</v>
      </c>
      <c r="J7" s="1">
        <v>26</v>
      </c>
      <c r="K7" s="1">
        <v>1.1600000000000001</v>
      </c>
      <c r="L7" s="1">
        <v>17.48</v>
      </c>
      <c r="M7" s="1">
        <v>23</v>
      </c>
      <c r="N7" s="1">
        <f>Table24[[#This Row],[re_1_outer_flc]]-Table24[[#This Row],[re_1_inner_flc]]</f>
        <v>5.52</v>
      </c>
      <c r="O7" s="3">
        <v>17.66</v>
      </c>
      <c r="P7" s="3">
        <v>29.72</v>
      </c>
      <c r="Q7" s="1">
        <f>Table24[[#This Row],[re_2_outer_flc]]-Table24[[#This Row],[re_2_inner_flc]]</f>
        <v>12.059999999999999</v>
      </c>
      <c r="R7" s="3">
        <v>19.22</v>
      </c>
      <c r="S7" s="1">
        <v>22.82</v>
      </c>
      <c r="T7" s="1">
        <f>Table24[[#This Row],[re_3_outer_flc]]-Table24[[#This Row],[re_3_inner_flc]]</f>
        <v>3.6000000000000014</v>
      </c>
      <c r="U7" s="1"/>
      <c r="V7" s="6" t="s">
        <v>60</v>
      </c>
      <c r="W7" s="6" t="s">
        <v>60</v>
      </c>
      <c r="X7" s="6">
        <v>572</v>
      </c>
      <c r="Y7" s="6" t="s">
        <v>64</v>
      </c>
      <c r="Z7" s="6">
        <v>0</v>
      </c>
      <c r="AA7" s="6">
        <v>0</v>
      </c>
      <c r="AB7" s="6" t="s">
        <v>60</v>
      </c>
      <c r="AC7" s="6" t="s">
        <v>60</v>
      </c>
      <c r="AD7" s="6" t="s">
        <v>60</v>
      </c>
      <c r="AE7" s="6">
        <v>313</v>
      </c>
      <c r="AF7" s="6">
        <v>1</v>
      </c>
      <c r="AG7" s="6">
        <v>0</v>
      </c>
    </row>
    <row r="8" spans="1:33" x14ac:dyDescent="0.2">
      <c r="A8" s="1">
        <v>7</v>
      </c>
      <c r="B8" s="1">
        <v>160</v>
      </c>
      <c r="C8" s="1" t="s">
        <v>57</v>
      </c>
      <c r="D8" s="1" t="s">
        <v>68</v>
      </c>
      <c r="E8" s="1" t="s">
        <v>59</v>
      </c>
      <c r="F8" s="1">
        <v>2</v>
      </c>
      <c r="G8" s="1"/>
      <c r="H8" s="1">
        <v>16</v>
      </c>
      <c r="I8" s="1">
        <v>12.64</v>
      </c>
      <c r="J8" s="1">
        <v>32.380000000000003</v>
      </c>
      <c r="K8" s="1">
        <v>19.740000000000002</v>
      </c>
      <c r="L8" s="1">
        <v>17.62</v>
      </c>
      <c r="M8" s="1">
        <v>30</v>
      </c>
      <c r="N8" s="1">
        <f>Table24[[#This Row],[re_1_outer_flc]]-Table24[[#This Row],[re_1_inner_flc]]</f>
        <v>12.379999999999999</v>
      </c>
      <c r="O8" s="3">
        <v>13.54</v>
      </c>
      <c r="P8" s="3">
        <v>28.74</v>
      </c>
      <c r="Q8" s="1">
        <f>Table24[[#This Row],[re_2_outer_flc]]-Table24[[#This Row],[re_2_inner_flc]]</f>
        <v>15.2</v>
      </c>
      <c r="R8" s="3">
        <v>13.08</v>
      </c>
      <c r="S8" s="1">
        <v>30.12</v>
      </c>
      <c r="T8" s="1">
        <f>Table24[[#This Row],[re_3_outer_flc]]-Table24[[#This Row],[re_3_inner_flc]]</f>
        <v>17.04</v>
      </c>
      <c r="U8" s="1"/>
      <c r="V8" s="6" t="s">
        <v>60</v>
      </c>
      <c r="W8" s="6">
        <v>590</v>
      </c>
      <c r="X8" s="6">
        <v>2</v>
      </c>
      <c r="Y8" s="6">
        <v>0</v>
      </c>
      <c r="Z8" s="6">
        <v>0</v>
      </c>
      <c r="AA8" s="6">
        <v>0</v>
      </c>
      <c r="AB8" s="6" t="s">
        <v>60</v>
      </c>
      <c r="AC8" s="6" t="s">
        <v>60</v>
      </c>
      <c r="AD8" s="6">
        <v>61</v>
      </c>
      <c r="AE8" s="6">
        <v>0</v>
      </c>
      <c r="AF8" s="6">
        <v>0</v>
      </c>
      <c r="AG8" s="6">
        <v>0</v>
      </c>
    </row>
    <row r="9" spans="1:33" x14ac:dyDescent="0.2">
      <c r="A9" s="1">
        <v>8</v>
      </c>
      <c r="B9" s="1">
        <v>162</v>
      </c>
      <c r="C9" s="1" t="s">
        <v>57</v>
      </c>
      <c r="D9" s="1" t="s">
        <v>69</v>
      </c>
      <c r="E9" s="1" t="s">
        <v>59</v>
      </c>
      <c r="F9" s="1">
        <v>4</v>
      </c>
      <c r="G9" s="1"/>
      <c r="H9" s="1">
        <v>32</v>
      </c>
      <c r="I9" s="1">
        <v>8.6</v>
      </c>
      <c r="J9" s="1">
        <v>20.6</v>
      </c>
      <c r="K9" s="1">
        <v>12.000000000000002</v>
      </c>
      <c r="L9" s="1">
        <v>20.100000000000001</v>
      </c>
      <c r="M9" s="1">
        <v>23.7</v>
      </c>
      <c r="N9" s="1">
        <f>Table24[[#This Row],[re_1_outer_flc]]-Table24[[#This Row],[re_1_inner_flc]]</f>
        <v>3.5999999999999979</v>
      </c>
      <c r="O9" s="3">
        <v>21.22</v>
      </c>
      <c r="P9" s="3">
        <v>23.72</v>
      </c>
      <c r="Q9" s="1">
        <f>Table24[[#This Row],[re_2_outer_flc]]-Table24[[#This Row],[re_2_inner_flc]]</f>
        <v>2.5</v>
      </c>
      <c r="R9" s="3">
        <v>14.32</v>
      </c>
      <c r="S9" s="1">
        <v>21.96</v>
      </c>
      <c r="T9" s="1">
        <f>Table24[[#This Row],[re_3_outer_flc]]-Table24[[#This Row],[re_3_inner_flc]]</f>
        <v>7.6400000000000006</v>
      </c>
      <c r="U9" s="1"/>
      <c r="V9" s="6" t="s">
        <v>60</v>
      </c>
      <c r="W9" s="6" t="s">
        <v>60</v>
      </c>
      <c r="X9" s="6">
        <v>285</v>
      </c>
      <c r="Y9" s="6">
        <v>17</v>
      </c>
      <c r="Z9" s="6">
        <v>0</v>
      </c>
      <c r="AA9" s="6">
        <v>0</v>
      </c>
      <c r="AB9" s="6" t="s">
        <v>60</v>
      </c>
      <c r="AC9" s="6" t="s">
        <v>60</v>
      </c>
      <c r="AD9" s="6">
        <v>430</v>
      </c>
      <c r="AE9" s="6">
        <v>124</v>
      </c>
      <c r="AF9" s="6" t="s">
        <v>64</v>
      </c>
      <c r="AG9" s="6">
        <v>0</v>
      </c>
    </row>
    <row r="10" spans="1:33" x14ac:dyDescent="0.2">
      <c r="A10" s="1">
        <v>9</v>
      </c>
      <c r="B10" s="1">
        <v>169</v>
      </c>
      <c r="C10" s="1" t="s">
        <v>65</v>
      </c>
      <c r="D10" s="1" t="s">
        <v>70</v>
      </c>
      <c r="E10" s="1" t="s">
        <v>59</v>
      </c>
      <c r="F10" s="1">
        <v>4</v>
      </c>
      <c r="G10" s="1"/>
      <c r="H10" s="1">
        <v>32</v>
      </c>
      <c r="I10" s="1">
        <v>27.58</v>
      </c>
      <c r="J10" s="1">
        <v>28.28</v>
      </c>
      <c r="K10" s="1">
        <v>0.70000000000000284</v>
      </c>
      <c r="L10" s="1">
        <v>18.14</v>
      </c>
      <c r="M10" s="1">
        <v>21</v>
      </c>
      <c r="N10" s="1">
        <f>Table24[[#This Row],[re_1_outer_flc]]-Table24[[#This Row],[re_1_inner_flc]]</f>
        <v>2.8599999999999994</v>
      </c>
      <c r="O10" s="3">
        <v>16.88</v>
      </c>
      <c r="P10" s="3">
        <v>20.38</v>
      </c>
      <c r="Q10" s="1">
        <f>Table24[[#This Row],[re_2_outer_flc]]-Table24[[#This Row],[re_2_inner_flc]]</f>
        <v>3.5</v>
      </c>
      <c r="R10" s="3">
        <v>18.14</v>
      </c>
      <c r="S10" s="1">
        <v>20.7</v>
      </c>
      <c r="T10" s="1">
        <f>Table24[[#This Row],[re_3_outer_flc]]-Table24[[#This Row],[re_3_inner_flc]]</f>
        <v>2.5599999999999987</v>
      </c>
      <c r="U10" s="1"/>
      <c r="V10" s="6" t="s">
        <v>60</v>
      </c>
      <c r="W10" s="6" t="s">
        <v>60</v>
      </c>
      <c r="X10" s="6">
        <v>272</v>
      </c>
      <c r="Y10" s="6">
        <v>1</v>
      </c>
      <c r="Z10" s="6">
        <v>0</v>
      </c>
      <c r="AA10" s="6">
        <v>0</v>
      </c>
      <c r="AB10" s="6" t="s">
        <v>60</v>
      </c>
      <c r="AC10" s="6" t="s">
        <v>60</v>
      </c>
      <c r="AD10" s="6">
        <v>382</v>
      </c>
      <c r="AE10" s="6">
        <v>7</v>
      </c>
      <c r="AF10" s="6">
        <v>0</v>
      </c>
      <c r="AG10" s="6">
        <v>0</v>
      </c>
    </row>
    <row r="11" spans="1:33" x14ac:dyDescent="0.2">
      <c r="A11" s="1">
        <v>10</v>
      </c>
      <c r="B11" s="1">
        <v>174</v>
      </c>
      <c r="C11" s="1" t="s">
        <v>65</v>
      </c>
      <c r="D11" s="1" t="s">
        <v>71</v>
      </c>
      <c r="E11" s="1" t="s">
        <v>59</v>
      </c>
      <c r="F11" s="1">
        <v>1</v>
      </c>
      <c r="G11" s="1"/>
      <c r="H11" s="1">
        <v>8</v>
      </c>
      <c r="I11" s="1">
        <v>27.66</v>
      </c>
      <c r="J11" s="1">
        <v>29.22</v>
      </c>
      <c r="K11" s="1">
        <v>1.5599999999999987</v>
      </c>
      <c r="L11" s="1">
        <v>20.5</v>
      </c>
      <c r="M11" s="1">
        <v>24.36</v>
      </c>
      <c r="N11" s="1">
        <f>Table24[[#This Row],[re_1_outer_flc]]-Table24[[#This Row],[re_1_inner_flc]]</f>
        <v>3.8599999999999994</v>
      </c>
      <c r="O11" s="3">
        <v>20.18</v>
      </c>
      <c r="P11" s="3">
        <v>21.98</v>
      </c>
      <c r="Q11" s="1">
        <f>Table24[[#This Row],[re_2_outer_flc]]-Table24[[#This Row],[re_2_inner_flc]]</f>
        <v>1.8000000000000007</v>
      </c>
      <c r="R11" s="3">
        <v>20.239999999999998</v>
      </c>
      <c r="S11" s="1">
        <v>25.1</v>
      </c>
      <c r="T11" s="1">
        <f>Table24[[#This Row],[re_3_outer_flc]]-Table24[[#This Row],[re_3_inner_flc]]</f>
        <v>4.860000000000003</v>
      </c>
      <c r="U11" s="1"/>
      <c r="V11" s="6" t="s">
        <v>60</v>
      </c>
      <c r="W11" s="6">
        <v>473</v>
      </c>
      <c r="X11" s="6" t="s">
        <v>64</v>
      </c>
      <c r="Y11" s="6">
        <v>0</v>
      </c>
      <c r="Z11" s="6">
        <v>0</v>
      </c>
      <c r="AA11" s="6">
        <v>0</v>
      </c>
      <c r="AB11" s="6" t="s">
        <v>60</v>
      </c>
      <c r="AC11" s="6">
        <v>525</v>
      </c>
      <c r="AD11" s="6">
        <v>33</v>
      </c>
      <c r="AE11" s="6">
        <v>0</v>
      </c>
      <c r="AF11" s="6">
        <v>0</v>
      </c>
      <c r="AG11" s="6">
        <v>0</v>
      </c>
    </row>
    <row r="12" spans="1:33" x14ac:dyDescent="0.2">
      <c r="A12" s="1">
        <v>11</v>
      </c>
      <c r="B12" s="1">
        <v>196</v>
      </c>
      <c r="C12" s="1" t="s">
        <v>72</v>
      </c>
      <c r="D12" s="1" t="s">
        <v>73</v>
      </c>
      <c r="E12" s="1" t="s">
        <v>59</v>
      </c>
      <c r="F12" s="1">
        <v>4</v>
      </c>
      <c r="G12" s="1"/>
      <c r="H12" s="1">
        <v>32</v>
      </c>
      <c r="I12" s="1">
        <v>6</v>
      </c>
      <c r="J12" s="1">
        <v>6</v>
      </c>
      <c r="K12" s="1">
        <v>0</v>
      </c>
      <c r="L12" s="1">
        <v>6</v>
      </c>
      <c r="M12" s="1">
        <v>6</v>
      </c>
      <c r="N12" s="1">
        <f>Table24[[#This Row],[re_1_outer_flc]]-Table24[[#This Row],[re_1_inner_flc]]</f>
        <v>0</v>
      </c>
      <c r="O12" s="3">
        <v>6</v>
      </c>
      <c r="P12" s="3">
        <v>6</v>
      </c>
      <c r="Q12" s="1">
        <f>Table24[[#This Row],[re_2_outer_flc]]-Table24[[#This Row],[re_2_inner_flc]]</f>
        <v>0</v>
      </c>
      <c r="R12" s="3">
        <v>6</v>
      </c>
      <c r="S12" s="1">
        <v>6</v>
      </c>
      <c r="T12" s="1">
        <f>Table24[[#This Row],[re_3_outer_flc]]-Table24[[#This Row],[re_3_inner_flc]]</f>
        <v>0</v>
      </c>
      <c r="U12" s="1"/>
      <c r="V12" s="6" t="s">
        <v>60</v>
      </c>
      <c r="W12" s="6" t="s">
        <v>60</v>
      </c>
      <c r="X12" s="6" t="s">
        <v>60</v>
      </c>
      <c r="Y12" s="6" t="s">
        <v>60</v>
      </c>
      <c r="Z12" s="6" t="s">
        <v>60</v>
      </c>
      <c r="AA12" s="6" t="s">
        <v>60</v>
      </c>
      <c r="AB12" s="6" t="s">
        <v>60</v>
      </c>
      <c r="AC12" s="6" t="s">
        <v>60</v>
      </c>
      <c r="AD12" s="6" t="s">
        <v>60</v>
      </c>
      <c r="AE12" s="6" t="s">
        <v>60</v>
      </c>
      <c r="AF12" s="6" t="s">
        <v>60</v>
      </c>
      <c r="AG12" s="6" t="s">
        <v>60</v>
      </c>
    </row>
    <row r="13" spans="1:33" x14ac:dyDescent="0.2">
      <c r="A13" s="1">
        <v>12</v>
      </c>
      <c r="B13" s="1">
        <v>197</v>
      </c>
      <c r="C13" s="1" t="s">
        <v>72</v>
      </c>
      <c r="D13" s="1" t="s">
        <v>74</v>
      </c>
      <c r="E13" s="1" t="s">
        <v>59</v>
      </c>
      <c r="F13" s="1">
        <v>8</v>
      </c>
      <c r="G13" s="1"/>
      <c r="H13" s="1">
        <v>64</v>
      </c>
      <c r="I13" s="1">
        <v>6</v>
      </c>
      <c r="J13" s="1">
        <v>6</v>
      </c>
      <c r="K13" s="1">
        <v>0</v>
      </c>
      <c r="L13" s="1">
        <v>6</v>
      </c>
      <c r="M13" s="1">
        <v>6</v>
      </c>
      <c r="N13" s="1">
        <f>Table24[[#This Row],[re_1_outer_flc]]-Table24[[#This Row],[re_1_inner_flc]]</f>
        <v>0</v>
      </c>
      <c r="O13" s="3">
        <v>6</v>
      </c>
      <c r="P13" s="3">
        <v>6</v>
      </c>
      <c r="Q13" s="1">
        <f>Table24[[#This Row],[re_2_outer_flc]]-Table24[[#This Row],[re_2_inner_flc]]</f>
        <v>0</v>
      </c>
      <c r="R13" s="3">
        <v>6</v>
      </c>
      <c r="S13" s="1">
        <v>6</v>
      </c>
      <c r="T13" s="1">
        <f>Table24[[#This Row],[re_3_outer_flc]]-Table24[[#This Row],[re_3_inner_flc]]</f>
        <v>0</v>
      </c>
      <c r="U13" s="1"/>
      <c r="V13" s="6" t="s">
        <v>60</v>
      </c>
      <c r="W13" s="6" t="s">
        <v>60</v>
      </c>
      <c r="X13" s="6" t="s">
        <v>60</v>
      </c>
      <c r="Y13" s="6" t="s">
        <v>60</v>
      </c>
      <c r="Z13" s="6" t="s">
        <v>60</v>
      </c>
      <c r="AA13" s="6" t="s">
        <v>60</v>
      </c>
      <c r="AB13" s="6" t="s">
        <v>60</v>
      </c>
      <c r="AC13" s="6" t="s">
        <v>60</v>
      </c>
      <c r="AD13" s="6" t="s">
        <v>60</v>
      </c>
      <c r="AE13" s="6" t="s">
        <v>60</v>
      </c>
      <c r="AF13" s="6" t="s">
        <v>60</v>
      </c>
      <c r="AG13" s="6" t="s">
        <v>60</v>
      </c>
    </row>
    <row r="14" spans="1:33" x14ac:dyDescent="0.2">
      <c r="A14" s="1">
        <v>13</v>
      </c>
      <c r="B14" s="1">
        <v>198</v>
      </c>
      <c r="C14" s="1" t="s">
        <v>72</v>
      </c>
      <c r="D14" s="1" t="s">
        <v>75</v>
      </c>
      <c r="E14" s="1" t="s">
        <v>59</v>
      </c>
      <c r="F14" s="1">
        <v>64</v>
      </c>
      <c r="G14" s="1"/>
      <c r="H14" s="1">
        <v>512</v>
      </c>
      <c r="I14" s="1">
        <v>6</v>
      </c>
      <c r="J14" s="1">
        <v>6</v>
      </c>
      <c r="K14" s="1">
        <v>0</v>
      </c>
      <c r="L14" s="1">
        <v>6</v>
      </c>
      <c r="M14" s="1">
        <v>6</v>
      </c>
      <c r="N14" s="1">
        <f>Table24[[#This Row],[re_1_outer_flc]]-Table24[[#This Row],[re_1_inner_flc]]</f>
        <v>0</v>
      </c>
      <c r="O14" s="3">
        <v>6</v>
      </c>
      <c r="P14" s="3">
        <v>6</v>
      </c>
      <c r="Q14" s="1">
        <f>Table24[[#This Row],[re_2_outer_flc]]-Table24[[#This Row],[re_2_inner_flc]]</f>
        <v>0</v>
      </c>
      <c r="R14" s="3">
        <v>6</v>
      </c>
      <c r="S14" s="1">
        <v>6</v>
      </c>
      <c r="T14" s="1">
        <f>Table24[[#This Row],[re_3_outer_flc]]-Table24[[#This Row],[re_3_inner_flc]]</f>
        <v>0</v>
      </c>
      <c r="U14" s="1"/>
      <c r="V14" s="6" t="s">
        <v>60</v>
      </c>
      <c r="W14" s="6" t="s">
        <v>60</v>
      </c>
      <c r="X14" s="6" t="s">
        <v>60</v>
      </c>
      <c r="Y14" s="6" t="s">
        <v>60</v>
      </c>
      <c r="Z14" s="6" t="s">
        <v>60</v>
      </c>
      <c r="AA14" s="6" t="s">
        <v>60</v>
      </c>
      <c r="AB14" s="6" t="s">
        <v>60</v>
      </c>
      <c r="AC14" s="6" t="s">
        <v>60</v>
      </c>
      <c r="AD14" s="6" t="s">
        <v>60</v>
      </c>
      <c r="AE14" s="6" t="s">
        <v>60</v>
      </c>
      <c r="AF14" s="6" t="s">
        <v>60</v>
      </c>
      <c r="AG14" s="6" t="s">
        <v>60</v>
      </c>
    </row>
    <row r="15" spans="1:33" x14ac:dyDescent="0.2">
      <c r="A15" s="1">
        <v>14</v>
      </c>
      <c r="B15" s="1">
        <v>208</v>
      </c>
      <c r="C15" s="1" t="s">
        <v>57</v>
      </c>
      <c r="D15" s="1" t="s">
        <v>76</v>
      </c>
      <c r="E15" s="1" t="s">
        <v>59</v>
      </c>
      <c r="F15" s="1">
        <v>1</v>
      </c>
      <c r="G15" s="1"/>
      <c r="H15" s="1">
        <v>8</v>
      </c>
      <c r="I15" s="1">
        <v>10.38</v>
      </c>
      <c r="J15" s="1">
        <v>32.799999999999997</v>
      </c>
      <c r="K15" s="1">
        <v>22.419999999999995</v>
      </c>
      <c r="L15" s="1">
        <v>23.7</v>
      </c>
      <c r="M15" s="1">
        <v>25</v>
      </c>
      <c r="N15" s="1">
        <f>Table24[[#This Row],[re_1_outer_flc]]-Table24[[#This Row],[re_1_inner_flc]]</f>
        <v>1.3000000000000007</v>
      </c>
      <c r="O15" s="3">
        <v>17.239999999999998</v>
      </c>
      <c r="P15" s="3">
        <v>24.08</v>
      </c>
      <c r="Q15" s="1">
        <f>Table24[[#This Row],[re_2_outer_flc]]-Table24[[#This Row],[re_2_inner_flc]]</f>
        <v>6.84</v>
      </c>
      <c r="R15" s="3">
        <v>17.72</v>
      </c>
      <c r="S15" s="1">
        <v>28.14</v>
      </c>
      <c r="T15" s="1">
        <f>Table24[[#This Row],[re_3_outer_flc]]-Table24[[#This Row],[re_3_inner_flc]]</f>
        <v>10.420000000000002</v>
      </c>
      <c r="U15" s="1"/>
      <c r="V15" s="6" t="s">
        <v>60</v>
      </c>
      <c r="W15" s="6" t="s">
        <v>64</v>
      </c>
      <c r="X15" s="6" t="s">
        <v>64</v>
      </c>
      <c r="Y15" s="6">
        <v>0</v>
      </c>
      <c r="Z15" s="6">
        <v>0</v>
      </c>
      <c r="AA15" s="6">
        <v>0</v>
      </c>
      <c r="AB15" s="6" t="s">
        <v>60</v>
      </c>
      <c r="AC15" s="6">
        <v>360</v>
      </c>
      <c r="AD15" s="6">
        <v>3</v>
      </c>
      <c r="AE15" s="6">
        <v>0</v>
      </c>
      <c r="AF15" s="6">
        <v>0</v>
      </c>
      <c r="AG15" s="6">
        <v>0</v>
      </c>
    </row>
    <row r="16" spans="1:33" x14ac:dyDescent="0.2">
      <c r="A16" s="1">
        <v>15</v>
      </c>
      <c r="B16" s="1">
        <v>213</v>
      </c>
      <c r="C16" s="1" t="s">
        <v>57</v>
      </c>
      <c r="D16" s="1" t="s">
        <v>77</v>
      </c>
      <c r="E16" s="1" t="s">
        <v>59</v>
      </c>
      <c r="F16" s="1">
        <v>8</v>
      </c>
      <c r="G16" s="1"/>
      <c r="H16" s="1">
        <v>64</v>
      </c>
      <c r="I16" s="1">
        <v>9.8800000000000008</v>
      </c>
      <c r="J16" s="1">
        <v>21.78</v>
      </c>
      <c r="K16" s="1">
        <v>11.9</v>
      </c>
      <c r="L16" s="1">
        <v>15.18</v>
      </c>
      <c r="M16" s="1">
        <v>31.52</v>
      </c>
      <c r="N16" s="1">
        <f>Table24[[#This Row],[re_1_outer_flc]]-Table24[[#This Row],[re_1_inner_flc]]</f>
        <v>16.34</v>
      </c>
      <c r="O16" s="3">
        <v>16.739999999999998</v>
      </c>
      <c r="P16" s="3">
        <v>31.42</v>
      </c>
      <c r="Q16" s="1">
        <f>Table24[[#This Row],[re_2_outer_flc]]-Table24[[#This Row],[re_2_inner_flc]]</f>
        <v>14.680000000000003</v>
      </c>
      <c r="R16" s="3">
        <v>16.66</v>
      </c>
      <c r="S16" s="1">
        <v>30.52</v>
      </c>
      <c r="T16" s="1">
        <f>Table24[[#This Row],[re_3_outer_flc]]-Table24[[#This Row],[re_3_inner_flc]]</f>
        <v>13.86</v>
      </c>
      <c r="U16" s="1" t="s">
        <v>106</v>
      </c>
      <c r="V16" s="6" t="s">
        <v>60</v>
      </c>
      <c r="W16" s="6" t="s">
        <v>60</v>
      </c>
      <c r="X16" s="6">
        <v>62</v>
      </c>
      <c r="Y16" s="6">
        <v>0</v>
      </c>
      <c r="Z16" s="6">
        <v>0</v>
      </c>
      <c r="AA16" s="6">
        <v>0</v>
      </c>
      <c r="AB16" s="6" t="s">
        <v>60</v>
      </c>
      <c r="AC16" s="6" t="s">
        <v>60</v>
      </c>
      <c r="AD16" s="6">
        <v>210</v>
      </c>
      <c r="AE16" s="6">
        <v>6</v>
      </c>
      <c r="AF16" s="6" t="s">
        <v>64</v>
      </c>
      <c r="AG16" s="6">
        <v>0</v>
      </c>
    </row>
    <row r="17" spans="1:33" x14ac:dyDescent="0.2">
      <c r="A17" s="1">
        <v>16</v>
      </c>
      <c r="B17" s="1">
        <v>215</v>
      </c>
      <c r="C17" s="1" t="s">
        <v>57</v>
      </c>
      <c r="D17" s="1" t="s">
        <v>79</v>
      </c>
      <c r="E17" s="1" t="s">
        <v>59</v>
      </c>
      <c r="F17" s="1">
        <v>1</v>
      </c>
      <c r="G17" s="1"/>
      <c r="H17" s="1">
        <v>8</v>
      </c>
      <c r="I17" s="1">
        <v>14.48</v>
      </c>
      <c r="J17" s="1">
        <v>24.7</v>
      </c>
      <c r="K17" s="1">
        <v>10.219999999999999</v>
      </c>
      <c r="L17" s="1">
        <v>11.34</v>
      </c>
      <c r="M17" s="1">
        <v>31.58</v>
      </c>
      <c r="N17" s="1">
        <f>Table24[[#This Row],[re_1_outer_flc]]-Table24[[#This Row],[re_1_inner_flc]]</f>
        <v>20.239999999999998</v>
      </c>
      <c r="O17" s="3">
        <v>13.94</v>
      </c>
      <c r="P17" s="3">
        <v>27.6</v>
      </c>
      <c r="Q17" s="1">
        <f>Table24[[#This Row],[re_2_outer_flc]]-Table24[[#This Row],[re_2_inner_flc]]</f>
        <v>13.660000000000002</v>
      </c>
      <c r="R17" s="3">
        <v>9.8800000000000008</v>
      </c>
      <c r="S17" s="1">
        <v>29.08</v>
      </c>
      <c r="T17" s="1">
        <f>Table24[[#This Row],[re_3_outer_flc]]-Table24[[#This Row],[re_3_inner_flc]]</f>
        <v>19.199999999999996</v>
      </c>
      <c r="U17" s="1" t="s">
        <v>106</v>
      </c>
      <c r="V17" s="6" t="s">
        <v>60</v>
      </c>
      <c r="W17" s="6" t="s">
        <v>60</v>
      </c>
      <c r="X17" s="6">
        <v>30</v>
      </c>
      <c r="Y17" s="6" t="s">
        <v>64</v>
      </c>
      <c r="Z17" s="6" t="s">
        <v>64</v>
      </c>
      <c r="AA17" s="6">
        <v>0</v>
      </c>
      <c r="AB17" s="6" t="s">
        <v>60</v>
      </c>
      <c r="AC17" s="6" t="s">
        <v>60</v>
      </c>
      <c r="AD17" s="6">
        <v>472</v>
      </c>
      <c r="AE17" s="6">
        <v>62</v>
      </c>
      <c r="AF17" s="6">
        <v>9</v>
      </c>
      <c r="AG17" s="6">
        <v>0</v>
      </c>
    </row>
    <row r="18" spans="1:33" x14ac:dyDescent="0.2">
      <c r="A18" s="1">
        <v>17</v>
      </c>
      <c r="B18" s="1">
        <v>217</v>
      </c>
      <c r="C18" s="1" t="s">
        <v>57</v>
      </c>
      <c r="D18" s="1" t="s">
        <v>80</v>
      </c>
      <c r="E18" s="1" t="s">
        <v>59</v>
      </c>
      <c r="F18" s="1">
        <v>1</v>
      </c>
      <c r="G18" s="1"/>
      <c r="H18" s="1">
        <v>8</v>
      </c>
      <c r="I18" s="1">
        <v>22.62</v>
      </c>
      <c r="J18" s="1">
        <v>34.96</v>
      </c>
      <c r="K18" s="1">
        <v>12.34</v>
      </c>
      <c r="L18" s="1">
        <v>23.54</v>
      </c>
      <c r="M18" s="1">
        <v>31.1</v>
      </c>
      <c r="N18" s="1">
        <f>Table24[[#This Row],[re_1_outer_flc]]-Table24[[#This Row],[re_1_inner_flc]]</f>
        <v>7.5600000000000023</v>
      </c>
      <c r="O18" s="3">
        <v>26.48</v>
      </c>
      <c r="P18" s="3">
        <v>31.8</v>
      </c>
      <c r="Q18" s="1">
        <f>Table24[[#This Row],[re_2_outer_flc]]-Table24[[#This Row],[re_2_inner_flc]]</f>
        <v>5.32</v>
      </c>
      <c r="R18" s="3">
        <v>25.6</v>
      </c>
      <c r="S18" s="1">
        <v>32.9</v>
      </c>
      <c r="T18" s="1">
        <f>Table24[[#This Row],[re_3_outer_flc]]-Table24[[#This Row],[re_3_inner_flc]]</f>
        <v>7.2999999999999972</v>
      </c>
      <c r="U18" s="1"/>
      <c r="V18" s="6" t="s">
        <v>60</v>
      </c>
      <c r="W18" s="6">
        <v>35</v>
      </c>
      <c r="X18" s="6">
        <v>0</v>
      </c>
      <c r="Y18" s="6">
        <v>0</v>
      </c>
      <c r="Z18" s="6">
        <v>0</v>
      </c>
      <c r="AA18" s="6">
        <v>0</v>
      </c>
      <c r="AB18" s="6" t="s">
        <v>60</v>
      </c>
      <c r="AC18" s="6">
        <v>48</v>
      </c>
      <c r="AD18" s="6">
        <v>0</v>
      </c>
      <c r="AE18" s="6">
        <v>0</v>
      </c>
      <c r="AF18" s="6">
        <v>0</v>
      </c>
      <c r="AG18" s="6">
        <v>0</v>
      </c>
    </row>
    <row r="19" spans="1:33" x14ac:dyDescent="0.2">
      <c r="A19" s="1">
        <v>18</v>
      </c>
      <c r="B19" s="1">
        <v>225</v>
      </c>
      <c r="C19" s="1" t="s">
        <v>65</v>
      </c>
      <c r="D19" s="1" t="s">
        <v>81</v>
      </c>
      <c r="E19" s="1" t="s">
        <v>59</v>
      </c>
      <c r="F19" s="1">
        <v>4</v>
      </c>
      <c r="G19" s="1"/>
      <c r="H19" s="1">
        <v>32</v>
      </c>
      <c r="I19" s="1">
        <v>26.56</v>
      </c>
      <c r="J19" s="1">
        <v>26.8</v>
      </c>
      <c r="K19" s="1">
        <v>0.24000000000000199</v>
      </c>
      <c r="L19" s="1">
        <v>17.920000000000002</v>
      </c>
      <c r="M19" s="1">
        <v>19.52</v>
      </c>
      <c r="N19" s="1">
        <f>Table24[[#This Row],[re_1_outer_flc]]-Table24[[#This Row],[re_1_inner_flc]]</f>
        <v>1.5999999999999979</v>
      </c>
      <c r="O19" s="3">
        <v>24.52</v>
      </c>
      <c r="P19" s="3">
        <v>28.92</v>
      </c>
      <c r="Q19" s="1">
        <f>Table24[[#This Row],[re_2_outer_flc]]-Table24[[#This Row],[re_2_inner_flc]]</f>
        <v>4.4000000000000021</v>
      </c>
      <c r="R19" s="3">
        <v>22.56</v>
      </c>
      <c r="S19" s="1">
        <v>25.68</v>
      </c>
      <c r="T19" s="1">
        <f>Table24[[#This Row],[re_3_outer_flc]]-Table24[[#This Row],[re_3_inner_flc]]</f>
        <v>3.120000000000001</v>
      </c>
      <c r="U19" s="1"/>
      <c r="V19" s="6" t="s">
        <v>60</v>
      </c>
      <c r="W19" s="6" t="s">
        <v>60</v>
      </c>
      <c r="X19" s="6">
        <v>430</v>
      </c>
      <c r="Y19" s="6" t="s">
        <v>64</v>
      </c>
      <c r="Z19" s="6">
        <v>0</v>
      </c>
      <c r="AA19" s="6">
        <v>0</v>
      </c>
      <c r="AB19" s="6" t="s">
        <v>60</v>
      </c>
      <c r="AC19" s="6" t="s">
        <v>60</v>
      </c>
      <c r="AD19" s="6">
        <v>431</v>
      </c>
      <c r="AE19" s="6" t="s">
        <v>64</v>
      </c>
      <c r="AF19" s="6">
        <v>0</v>
      </c>
      <c r="AG19" s="6">
        <v>0</v>
      </c>
    </row>
    <row r="20" spans="1:33" x14ac:dyDescent="0.2">
      <c r="A20" s="1">
        <v>19</v>
      </c>
      <c r="B20" s="1">
        <v>226</v>
      </c>
      <c r="C20" s="1" t="s">
        <v>65</v>
      </c>
      <c r="D20" s="1" t="s">
        <v>82</v>
      </c>
      <c r="E20" s="1" t="s">
        <v>59</v>
      </c>
      <c r="F20" s="1">
        <v>1</v>
      </c>
      <c r="G20" s="1"/>
      <c r="H20" s="1">
        <v>8</v>
      </c>
      <c r="I20" s="1">
        <v>26.56</v>
      </c>
      <c r="J20" s="1">
        <v>32.14</v>
      </c>
      <c r="K20" s="1">
        <v>5.5800000000000018</v>
      </c>
      <c r="L20" s="1">
        <v>23.9</v>
      </c>
      <c r="M20" s="1">
        <v>30.48</v>
      </c>
      <c r="N20" s="1">
        <f>Table24[[#This Row],[re_1_outer_flc]]-Table24[[#This Row],[re_1_inner_flc]]</f>
        <v>6.5800000000000018</v>
      </c>
      <c r="O20" s="3">
        <v>23.22</v>
      </c>
      <c r="P20" s="3">
        <v>28.7</v>
      </c>
      <c r="Q20" s="1">
        <f>Table24[[#This Row],[re_2_outer_flc]]-Table24[[#This Row],[re_2_inner_flc]]</f>
        <v>5.48</v>
      </c>
      <c r="R20" s="3">
        <v>22.12</v>
      </c>
      <c r="S20" s="1">
        <v>27.06</v>
      </c>
      <c r="T20" s="1">
        <f>Table24[[#This Row],[re_3_outer_flc]]-Table24[[#This Row],[re_3_inner_flc]]</f>
        <v>4.9399999999999977</v>
      </c>
      <c r="U20" s="1"/>
      <c r="V20" s="6" t="s">
        <v>60</v>
      </c>
      <c r="W20" s="6">
        <v>179</v>
      </c>
      <c r="X20" s="6" t="s">
        <v>64</v>
      </c>
      <c r="Y20" s="6">
        <v>0</v>
      </c>
      <c r="Z20" s="6">
        <v>0</v>
      </c>
      <c r="AA20" s="6">
        <v>0</v>
      </c>
      <c r="AB20" s="6" t="s">
        <v>60</v>
      </c>
      <c r="AC20" s="6">
        <v>182</v>
      </c>
      <c r="AD20" s="6">
        <v>46</v>
      </c>
      <c r="AE20" s="6">
        <v>0</v>
      </c>
      <c r="AF20" s="6">
        <v>0</v>
      </c>
      <c r="AG20" s="6">
        <v>0</v>
      </c>
    </row>
    <row r="21" spans="1:33" x14ac:dyDescent="0.2">
      <c r="A21" s="1">
        <v>20</v>
      </c>
      <c r="B21" s="1" t="s">
        <v>83</v>
      </c>
      <c r="C21" s="1" t="s">
        <v>84</v>
      </c>
      <c r="D21" s="1" t="s">
        <v>85</v>
      </c>
      <c r="E21" s="1" t="s">
        <v>59</v>
      </c>
      <c r="F21" s="1"/>
      <c r="G21" s="1">
        <v>8</v>
      </c>
      <c r="H21" s="1">
        <v>64</v>
      </c>
      <c r="I21" s="1">
        <v>18.38</v>
      </c>
      <c r="J21" s="1">
        <v>21.62</v>
      </c>
      <c r="K21" s="1">
        <v>3.24</v>
      </c>
      <c r="L21" s="1">
        <v>21.38</v>
      </c>
      <c r="M21" s="1">
        <v>24.48</v>
      </c>
      <c r="N21" s="1">
        <f>Table24[[#This Row],[re_1_outer_flc]]-Table24[[#This Row],[re_1_inner_flc]]</f>
        <v>3.1000000000000014</v>
      </c>
      <c r="O21" s="3">
        <v>20.100000000000001</v>
      </c>
      <c r="P21" s="3">
        <v>22.4</v>
      </c>
      <c r="Q21" s="1">
        <f>Table24[[#This Row],[re_2_outer_flc]]-Table24[[#This Row],[re_2_inner_flc]]</f>
        <v>2.2999999999999972</v>
      </c>
      <c r="R21" s="3">
        <v>15.6</v>
      </c>
      <c r="S21" s="1">
        <v>19.12</v>
      </c>
      <c r="T21" s="1">
        <f>Table24[[#This Row],[re_3_outer_flc]]-Table24[[#This Row],[re_3_inner_flc]]</f>
        <v>3.5200000000000014</v>
      </c>
      <c r="U21" s="1"/>
      <c r="V21" s="6" t="s">
        <v>60</v>
      </c>
      <c r="W21" s="6" t="s">
        <v>60</v>
      </c>
      <c r="X21" s="6">
        <v>497</v>
      </c>
      <c r="Y21" s="6">
        <v>118</v>
      </c>
      <c r="Z21" s="6" t="s">
        <v>64</v>
      </c>
      <c r="AA21" s="6">
        <v>0</v>
      </c>
      <c r="AB21" s="6" t="s">
        <v>60</v>
      </c>
      <c r="AC21" s="6" t="s">
        <v>60</v>
      </c>
      <c r="AD21" s="6">
        <v>503</v>
      </c>
      <c r="AE21" s="6">
        <v>118</v>
      </c>
      <c r="AF21" s="6">
        <v>22</v>
      </c>
      <c r="AG21" s="6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3F0F-64B5-A341-83F1-651F2DDE6BE3}">
  <dimension ref="A1:AG21"/>
  <sheetViews>
    <sheetView topLeftCell="Q1" zoomScale="150" zoomScaleNormal="150" workbookViewId="0">
      <selection activeCell="C15" sqref="C15"/>
    </sheetView>
  </sheetViews>
  <sheetFormatPr baseColWidth="10" defaultRowHeight="16" x14ac:dyDescent="0.2"/>
  <cols>
    <col min="1" max="1" width="14.1640625" style="2" bestFit="1" customWidth="1"/>
    <col min="2" max="2" width="8" style="2" bestFit="1" customWidth="1"/>
    <col min="3" max="3" width="11.1640625" style="2" bestFit="1" customWidth="1"/>
    <col min="4" max="4" width="14.1640625" style="2" bestFit="1" customWidth="1"/>
    <col min="5" max="5" width="15.1640625" style="2" bestFit="1" customWidth="1"/>
    <col min="6" max="6" width="17.83203125" style="2" bestFit="1" customWidth="1"/>
    <col min="7" max="7" width="14.5" style="2" bestFit="1" customWidth="1"/>
    <col min="8" max="8" width="12.5" style="2" bestFit="1" customWidth="1"/>
    <col min="9" max="9" width="16.33203125" style="2" bestFit="1" customWidth="1"/>
    <col min="10" max="10" width="16.5" style="2" bestFit="1" customWidth="1"/>
    <col min="11" max="11" width="13.33203125" style="2" bestFit="1" customWidth="1"/>
    <col min="12" max="12" width="17.6640625" style="2" bestFit="1" customWidth="1"/>
    <col min="13" max="13" width="17.83203125" style="2" bestFit="1" customWidth="1"/>
    <col min="14" max="14" width="14.6640625" style="2" bestFit="1" customWidth="1"/>
    <col min="15" max="15" width="17.6640625" style="2" bestFit="1" customWidth="1"/>
    <col min="16" max="16" width="17.83203125" style="2" bestFit="1" customWidth="1"/>
    <col min="17" max="17" width="14.6640625" style="2" bestFit="1" customWidth="1"/>
    <col min="18" max="18" width="17.6640625" style="2" bestFit="1" customWidth="1"/>
    <col min="19" max="19" width="17.83203125" style="2" bestFit="1" customWidth="1"/>
    <col min="20" max="20" width="14.6640625" style="2" bestFit="1" customWidth="1"/>
    <col min="21" max="21" width="9.83203125" style="2" bestFit="1" customWidth="1"/>
    <col min="22" max="23" width="16.5" style="2" bestFit="1" customWidth="1"/>
    <col min="24" max="27" width="17.5" style="2" bestFit="1" customWidth="1"/>
    <col min="28" max="29" width="16.5" style="2" bestFit="1" customWidth="1"/>
    <col min="30" max="33" width="17.5" style="2" bestFit="1" customWidth="1"/>
    <col min="34" max="16384" width="10.83203125" style="2"/>
  </cols>
  <sheetData>
    <row r="1" spans="1:3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26</v>
      </c>
      <c r="V1" s="4" t="s">
        <v>86</v>
      </c>
      <c r="W1" s="4" t="s">
        <v>90</v>
      </c>
      <c r="X1" s="4" t="s">
        <v>88</v>
      </c>
      <c r="Y1" s="4" t="s">
        <v>91</v>
      </c>
      <c r="Z1" s="4" t="s">
        <v>89</v>
      </c>
      <c r="AA1" s="4" t="s">
        <v>87</v>
      </c>
      <c r="AB1" s="4" t="s">
        <v>92</v>
      </c>
      <c r="AC1" s="4" t="s">
        <v>93</v>
      </c>
      <c r="AD1" s="4" t="s">
        <v>94</v>
      </c>
      <c r="AE1" s="4" t="s">
        <v>95</v>
      </c>
      <c r="AF1" s="4" t="s">
        <v>96</v>
      </c>
      <c r="AG1" s="4" t="s">
        <v>97</v>
      </c>
    </row>
    <row r="2" spans="1:33" x14ac:dyDescent="0.2">
      <c r="A2" s="1">
        <v>1</v>
      </c>
      <c r="B2" s="1">
        <v>101</v>
      </c>
      <c r="C2" s="1" t="s">
        <v>57</v>
      </c>
      <c r="D2" s="1" t="s">
        <v>58</v>
      </c>
      <c r="E2" s="1" t="s">
        <v>59</v>
      </c>
      <c r="F2" s="1">
        <v>2</v>
      </c>
      <c r="G2" s="1"/>
      <c r="H2" s="1">
        <v>16</v>
      </c>
      <c r="I2" s="1">
        <v>6</v>
      </c>
      <c r="J2" s="1">
        <v>15.48</v>
      </c>
      <c r="K2" s="1">
        <v>9.48</v>
      </c>
      <c r="L2" s="2">
        <v>11.56</v>
      </c>
      <c r="M2" s="2">
        <v>24.72</v>
      </c>
      <c r="N2" s="2">
        <f>Table4[[#This Row],[re_1_outer_flc]]-Table4[[#This Row],[re_1_inner_flc]]</f>
        <v>13.159999999999998</v>
      </c>
      <c r="O2" s="2">
        <v>7.68</v>
      </c>
      <c r="P2" s="2">
        <v>18.3</v>
      </c>
      <c r="Q2" s="2">
        <f>Table4[[#This Row],[re_2_outer_flc]]-Table4[[#This Row],[re_2_inner_flc]]</f>
        <v>10.620000000000001</v>
      </c>
      <c r="R2" s="2">
        <v>11.62</v>
      </c>
      <c r="S2" s="2">
        <v>21.32</v>
      </c>
      <c r="T2" s="2">
        <f>Table4[[#This Row],[re_3_outer_flc]]-Table4[[#This Row],[re_3_inner_flc]]</f>
        <v>9.7000000000000011</v>
      </c>
      <c r="V2" s="1" t="s">
        <v>60</v>
      </c>
      <c r="W2" s="1" t="s">
        <v>60</v>
      </c>
      <c r="X2" s="1">
        <v>411</v>
      </c>
      <c r="Y2" s="1">
        <v>4</v>
      </c>
      <c r="Z2" s="1" t="s">
        <v>64</v>
      </c>
      <c r="AA2" s="1">
        <v>0</v>
      </c>
      <c r="AB2" s="1" t="s">
        <v>60</v>
      </c>
      <c r="AC2" s="1" t="s">
        <v>60</v>
      </c>
      <c r="AD2" s="1">
        <v>440</v>
      </c>
      <c r="AE2" s="1">
        <v>53</v>
      </c>
      <c r="AF2" s="1">
        <v>3</v>
      </c>
      <c r="AG2" s="1">
        <v>0</v>
      </c>
    </row>
    <row r="3" spans="1:33" x14ac:dyDescent="0.2">
      <c r="A3" s="1">
        <v>2</v>
      </c>
      <c r="B3" s="1">
        <v>106</v>
      </c>
      <c r="C3" s="1" t="s">
        <v>57</v>
      </c>
      <c r="D3" s="1" t="s">
        <v>61</v>
      </c>
      <c r="E3" s="1" t="s">
        <v>59</v>
      </c>
      <c r="F3" s="1">
        <v>4</v>
      </c>
      <c r="G3" s="1"/>
      <c r="H3" s="1">
        <v>32</v>
      </c>
      <c r="I3" s="1">
        <v>16.82</v>
      </c>
      <c r="J3" s="1">
        <v>28.5</v>
      </c>
      <c r="K3" s="1">
        <v>11.68</v>
      </c>
      <c r="L3" s="2">
        <v>6</v>
      </c>
      <c r="M3" s="2">
        <v>6</v>
      </c>
      <c r="N3" s="2">
        <f>Table4[[#This Row],[re_1_outer_flc]]-Table4[[#This Row],[re_1_inner_flc]]</f>
        <v>0</v>
      </c>
      <c r="O3" s="2">
        <v>6</v>
      </c>
      <c r="P3" s="2">
        <v>6</v>
      </c>
      <c r="Q3" s="2">
        <f>Table4[[#This Row],[re_2_outer_flc]]-Table4[[#This Row],[re_2_inner_flc]]</f>
        <v>0</v>
      </c>
      <c r="R3" s="2">
        <v>6</v>
      </c>
      <c r="S3" s="2">
        <v>6</v>
      </c>
      <c r="T3" s="2">
        <f>Table4[[#This Row],[re_3_outer_flc]]-Table4[[#This Row],[re_3_inner_flc]]</f>
        <v>0</v>
      </c>
      <c r="V3" s="1" t="s">
        <v>60</v>
      </c>
      <c r="W3" s="1" t="s">
        <v>60</v>
      </c>
      <c r="X3" s="1" t="s">
        <v>60</v>
      </c>
      <c r="Y3" s="1" t="s">
        <v>60</v>
      </c>
      <c r="Z3" s="1" t="s">
        <v>60</v>
      </c>
      <c r="AA3" s="1" t="s">
        <v>60</v>
      </c>
      <c r="AB3" s="1" t="s">
        <v>60</v>
      </c>
      <c r="AC3" s="1" t="s">
        <v>60</v>
      </c>
      <c r="AD3" s="1" t="s">
        <v>60</v>
      </c>
      <c r="AE3" s="1" t="s">
        <v>60</v>
      </c>
      <c r="AF3" s="1" t="s">
        <v>60</v>
      </c>
      <c r="AG3" s="1" t="s">
        <v>60</v>
      </c>
    </row>
    <row r="4" spans="1:33" x14ac:dyDescent="0.2">
      <c r="A4" s="1">
        <v>3</v>
      </c>
      <c r="B4" s="1">
        <v>126</v>
      </c>
      <c r="C4" s="1" t="s">
        <v>57</v>
      </c>
      <c r="D4" s="1" t="s">
        <v>62</v>
      </c>
      <c r="E4" s="1" t="s">
        <v>59</v>
      </c>
      <c r="F4" s="1">
        <v>1</v>
      </c>
      <c r="G4" s="1"/>
      <c r="H4" s="1">
        <v>8</v>
      </c>
      <c r="I4" s="1">
        <v>11.98</v>
      </c>
      <c r="J4" s="1">
        <v>25.7</v>
      </c>
      <c r="K4" s="1">
        <v>13.719999999999999</v>
      </c>
      <c r="L4" s="2">
        <v>6</v>
      </c>
      <c r="M4" s="2">
        <v>6</v>
      </c>
      <c r="N4" s="2">
        <f>Table4[[#This Row],[re_1_outer_flc]]-Table4[[#This Row],[re_1_inner_flc]]</f>
        <v>0</v>
      </c>
      <c r="O4" s="2">
        <v>6</v>
      </c>
      <c r="P4" s="2">
        <v>6</v>
      </c>
      <c r="Q4" s="2">
        <f>Table4[[#This Row],[re_2_outer_flc]]-Table4[[#This Row],[re_2_inner_flc]]</f>
        <v>0</v>
      </c>
      <c r="R4" s="2">
        <v>6</v>
      </c>
      <c r="S4" s="2">
        <v>6</v>
      </c>
      <c r="T4" s="2">
        <f>Table4[[#This Row],[re_3_outer_flc]]-Table4[[#This Row],[re_3_inner_flc]]</f>
        <v>0</v>
      </c>
      <c r="V4" s="1" t="s">
        <v>60</v>
      </c>
      <c r="W4" s="1" t="s">
        <v>60</v>
      </c>
      <c r="X4" s="1" t="s">
        <v>60</v>
      </c>
      <c r="Y4" s="1" t="s">
        <v>60</v>
      </c>
      <c r="Z4" s="1" t="s">
        <v>60</v>
      </c>
      <c r="AA4" s="1" t="s">
        <v>60</v>
      </c>
      <c r="AB4" s="1" t="s">
        <v>60</v>
      </c>
      <c r="AC4" s="1" t="s">
        <v>60</v>
      </c>
      <c r="AD4" s="1" t="s">
        <v>60</v>
      </c>
      <c r="AE4" s="1" t="s">
        <v>60</v>
      </c>
      <c r="AF4" s="1" t="s">
        <v>60</v>
      </c>
      <c r="AG4" s="1" t="s">
        <v>60</v>
      </c>
    </row>
    <row r="5" spans="1:33" x14ac:dyDescent="0.2">
      <c r="A5" s="1">
        <v>4</v>
      </c>
      <c r="B5" s="1">
        <v>128</v>
      </c>
      <c r="C5" s="1" t="s">
        <v>57</v>
      </c>
      <c r="D5" s="1" t="s">
        <v>63</v>
      </c>
      <c r="E5" s="1" t="s">
        <v>59</v>
      </c>
      <c r="F5" s="1"/>
      <c r="G5" s="1">
        <v>2</v>
      </c>
      <c r="H5" s="1">
        <v>16</v>
      </c>
      <c r="I5" s="1">
        <v>15.02</v>
      </c>
      <c r="J5" s="1">
        <v>27.5</v>
      </c>
      <c r="K5" s="1">
        <v>12.48</v>
      </c>
      <c r="L5" s="2">
        <v>15</v>
      </c>
      <c r="M5" s="2">
        <v>21.92</v>
      </c>
      <c r="N5" s="2">
        <f>Table4[[#This Row],[re_1_outer_flc]]-Table4[[#This Row],[re_1_inner_flc]]</f>
        <v>6.9200000000000017</v>
      </c>
      <c r="O5" s="2">
        <v>12.28</v>
      </c>
      <c r="P5" s="2">
        <v>19.12</v>
      </c>
      <c r="Q5" s="2">
        <f>Table4[[#This Row],[re_2_outer_flc]]-Table4[[#This Row],[re_2_inner_flc]]</f>
        <v>6.8400000000000016</v>
      </c>
      <c r="R5" s="2">
        <v>7.82</v>
      </c>
      <c r="S5" s="2">
        <v>22.3</v>
      </c>
      <c r="T5" s="2">
        <f>Table4[[#This Row],[re_3_outer_flc]]-Table4[[#This Row],[re_3_inner_flc]]</f>
        <v>14.48</v>
      </c>
      <c r="V5" s="1" t="s">
        <v>60</v>
      </c>
      <c r="W5" s="1" t="s">
        <v>60</v>
      </c>
      <c r="X5" s="1">
        <v>284</v>
      </c>
      <c r="Y5" s="1" t="s">
        <v>64</v>
      </c>
      <c r="Z5" s="1">
        <v>0</v>
      </c>
      <c r="AA5" s="1">
        <v>0</v>
      </c>
      <c r="AB5" s="1" t="s">
        <v>60</v>
      </c>
      <c r="AC5" s="1" t="s">
        <v>60</v>
      </c>
      <c r="AD5" s="1">
        <v>410</v>
      </c>
      <c r="AE5" s="1">
        <v>60</v>
      </c>
      <c r="AF5" s="1">
        <v>0</v>
      </c>
      <c r="AG5" s="1">
        <v>0</v>
      </c>
    </row>
    <row r="6" spans="1:33" x14ac:dyDescent="0.2">
      <c r="A6" s="1">
        <v>5</v>
      </c>
      <c r="B6" s="1">
        <v>147</v>
      </c>
      <c r="C6" s="1" t="s">
        <v>65</v>
      </c>
      <c r="D6" s="1" t="s">
        <v>66</v>
      </c>
      <c r="E6" s="1" t="s">
        <v>59</v>
      </c>
      <c r="F6" s="1">
        <v>4</v>
      </c>
      <c r="G6" s="1"/>
      <c r="H6" s="1">
        <v>32</v>
      </c>
      <c r="I6" s="1">
        <v>20</v>
      </c>
      <c r="J6" s="1">
        <v>21.18</v>
      </c>
      <c r="K6" s="1">
        <v>1.1799999999999997</v>
      </c>
      <c r="L6" s="2">
        <v>10.82</v>
      </c>
      <c r="M6" s="2">
        <v>16.38</v>
      </c>
      <c r="N6" s="2">
        <f>Table4[[#This Row],[re_1_outer_flc]]-Table4[[#This Row],[re_1_inner_flc]]</f>
        <v>5.5599999999999987</v>
      </c>
      <c r="O6" s="2">
        <v>10.92</v>
      </c>
      <c r="P6" s="2">
        <v>18.079999999999998</v>
      </c>
      <c r="Q6" s="2">
        <f>Table4[[#This Row],[re_2_outer_flc]]-Table4[[#This Row],[re_2_inner_flc]]</f>
        <v>7.1599999999999984</v>
      </c>
      <c r="R6" s="2">
        <v>9.6199999999999992</v>
      </c>
      <c r="S6" s="2">
        <v>18</v>
      </c>
      <c r="T6" s="2">
        <f>Table4[[#This Row],[re_3_outer_flc]]-Table4[[#This Row],[re_3_inner_flc]]</f>
        <v>8.3800000000000008</v>
      </c>
      <c r="V6" s="1" t="s">
        <v>60</v>
      </c>
      <c r="W6" s="1" t="s">
        <v>60</v>
      </c>
      <c r="X6" s="1" t="s">
        <v>60</v>
      </c>
      <c r="Y6" s="1" t="s">
        <v>60</v>
      </c>
      <c r="Z6" s="1">
        <v>11</v>
      </c>
      <c r="AA6" s="1" t="s">
        <v>64</v>
      </c>
      <c r="AB6" s="1" t="s">
        <v>60</v>
      </c>
      <c r="AC6" s="1" t="s">
        <v>60</v>
      </c>
      <c r="AD6" s="1" t="s">
        <v>60</v>
      </c>
      <c r="AE6" s="1" t="s">
        <v>60</v>
      </c>
      <c r="AF6" s="1">
        <v>103</v>
      </c>
      <c r="AG6" s="1">
        <v>36</v>
      </c>
    </row>
    <row r="7" spans="1:33" x14ac:dyDescent="0.2">
      <c r="A7" s="1">
        <v>6</v>
      </c>
      <c r="B7" s="1">
        <v>150</v>
      </c>
      <c r="C7" s="1" t="s">
        <v>65</v>
      </c>
      <c r="D7" s="1" t="s">
        <v>67</v>
      </c>
      <c r="E7" s="1" t="s">
        <v>59</v>
      </c>
      <c r="F7" s="1">
        <v>1</v>
      </c>
      <c r="G7" s="1"/>
      <c r="H7" s="1">
        <v>8</v>
      </c>
      <c r="I7" s="1">
        <v>24.84</v>
      </c>
      <c r="J7" s="1">
        <v>26</v>
      </c>
      <c r="K7" s="1">
        <v>1.1600000000000001</v>
      </c>
      <c r="L7" s="2">
        <v>12.56</v>
      </c>
      <c r="M7" s="2">
        <v>23.38</v>
      </c>
      <c r="N7" s="2">
        <f>Table4[[#This Row],[re_1_outer_flc]]-Table4[[#This Row],[re_1_inner_flc]]</f>
        <v>10.819999999999999</v>
      </c>
      <c r="O7" s="2">
        <v>18.14</v>
      </c>
      <c r="P7" s="2">
        <v>25.3</v>
      </c>
      <c r="Q7" s="2">
        <f>Table4[[#This Row],[re_2_outer_flc]]-Table4[[#This Row],[re_2_inner_flc]]</f>
        <v>7.16</v>
      </c>
      <c r="R7" s="2">
        <v>17.46</v>
      </c>
      <c r="S7" s="2">
        <v>21.36</v>
      </c>
      <c r="T7" s="2">
        <f>Table4[[#This Row],[re_3_outer_flc]]-Table4[[#This Row],[re_3_inner_flc]]</f>
        <v>3.8999999999999986</v>
      </c>
      <c r="V7" s="1" t="s">
        <v>60</v>
      </c>
      <c r="W7" s="1" t="s">
        <v>60</v>
      </c>
      <c r="X7" s="1">
        <v>394</v>
      </c>
      <c r="Y7" s="1">
        <v>18</v>
      </c>
      <c r="Z7" s="1" t="s">
        <v>64</v>
      </c>
      <c r="AA7" s="1">
        <v>0</v>
      </c>
      <c r="AB7" s="1" t="s">
        <v>60</v>
      </c>
      <c r="AC7" s="1" t="s">
        <v>60</v>
      </c>
      <c r="AD7" s="1" t="s">
        <v>60</v>
      </c>
      <c r="AE7" s="1">
        <v>121</v>
      </c>
      <c r="AF7" s="1" t="s">
        <v>64</v>
      </c>
      <c r="AG7" s="1">
        <v>0</v>
      </c>
    </row>
    <row r="8" spans="1:33" x14ac:dyDescent="0.2">
      <c r="A8" s="1">
        <v>7</v>
      </c>
      <c r="B8" s="1">
        <v>160</v>
      </c>
      <c r="C8" s="1" t="s">
        <v>57</v>
      </c>
      <c r="D8" s="1" t="s">
        <v>68</v>
      </c>
      <c r="E8" s="1" t="s">
        <v>59</v>
      </c>
      <c r="F8" s="1">
        <v>2</v>
      </c>
      <c r="G8" s="1"/>
      <c r="H8" s="1">
        <v>16</v>
      </c>
      <c r="I8" s="1">
        <v>12.64</v>
      </c>
      <c r="J8" s="1">
        <v>32.380000000000003</v>
      </c>
      <c r="K8" s="1">
        <v>19.740000000000002</v>
      </c>
      <c r="L8" s="2">
        <v>13.04</v>
      </c>
      <c r="M8" s="2">
        <v>28.84</v>
      </c>
      <c r="N8" s="2">
        <f>Table4[[#This Row],[re_1_outer_flc]]-Table4[[#This Row],[re_1_inner_flc]]</f>
        <v>15.8</v>
      </c>
      <c r="O8" s="2">
        <v>12.52</v>
      </c>
      <c r="P8" s="2">
        <v>26.7</v>
      </c>
      <c r="Q8" s="2">
        <f>Table4[[#This Row],[re_2_outer_flc]]-Table4[[#This Row],[re_2_inner_flc]]</f>
        <v>14.18</v>
      </c>
      <c r="R8" s="2">
        <v>17.86</v>
      </c>
      <c r="S8" s="2">
        <v>27.62</v>
      </c>
      <c r="T8" s="2">
        <f>Table4[[#This Row],[re_3_outer_flc]]-Table4[[#This Row],[re_3_inner_flc]]</f>
        <v>9.7600000000000016</v>
      </c>
      <c r="V8" s="1" t="s">
        <v>60</v>
      </c>
      <c r="W8" s="1">
        <v>364</v>
      </c>
      <c r="X8" s="1" t="s">
        <v>64</v>
      </c>
      <c r="Y8" s="1">
        <v>0</v>
      </c>
      <c r="Z8" s="1">
        <v>0</v>
      </c>
      <c r="AA8" s="1">
        <v>0</v>
      </c>
      <c r="AB8" s="1" t="s">
        <v>60</v>
      </c>
      <c r="AC8" s="1">
        <v>366</v>
      </c>
      <c r="AD8" s="1">
        <v>93</v>
      </c>
      <c r="AE8" s="1">
        <v>0</v>
      </c>
      <c r="AF8" s="1">
        <v>0</v>
      </c>
      <c r="AG8" s="1">
        <v>0</v>
      </c>
    </row>
    <row r="9" spans="1:33" x14ac:dyDescent="0.2">
      <c r="A9" s="1">
        <v>8</v>
      </c>
      <c r="B9" s="1">
        <v>162</v>
      </c>
      <c r="C9" s="1" t="s">
        <v>57</v>
      </c>
      <c r="D9" s="1" t="s">
        <v>69</v>
      </c>
      <c r="E9" s="1" t="s">
        <v>59</v>
      </c>
      <c r="F9" s="1">
        <v>4</v>
      </c>
      <c r="G9" s="1"/>
      <c r="H9" s="1">
        <v>32</v>
      </c>
      <c r="I9" s="1">
        <v>8.6</v>
      </c>
      <c r="J9" s="1">
        <v>20.6</v>
      </c>
      <c r="K9" s="1">
        <v>12.000000000000002</v>
      </c>
      <c r="L9" s="2">
        <v>13.5</v>
      </c>
      <c r="M9" s="2">
        <v>21.38</v>
      </c>
      <c r="N9" s="2">
        <f>Table4[[#This Row],[re_1_outer_flc]]-Table4[[#This Row],[re_1_inner_flc]]</f>
        <v>7.879999999999999</v>
      </c>
      <c r="O9" s="2">
        <v>16.059999999999999</v>
      </c>
      <c r="P9" s="2">
        <v>20.74</v>
      </c>
      <c r="Q9" s="2">
        <f>Table4[[#This Row],[re_2_outer_flc]]-Table4[[#This Row],[re_2_inner_flc]]</f>
        <v>4.68</v>
      </c>
      <c r="R9" s="2">
        <v>11.66</v>
      </c>
      <c r="S9" s="2">
        <v>20.18</v>
      </c>
      <c r="T9" s="2">
        <f>Table4[[#This Row],[re_3_outer_flc]]-Table4[[#This Row],[re_3_inner_flc]]</f>
        <v>8.52</v>
      </c>
      <c r="V9" s="1" t="s">
        <v>60</v>
      </c>
      <c r="W9" s="1" t="s">
        <v>60</v>
      </c>
      <c r="X9" s="1">
        <v>300</v>
      </c>
      <c r="Y9" s="1">
        <v>48</v>
      </c>
      <c r="Z9" s="1" t="s">
        <v>64</v>
      </c>
      <c r="AA9" s="1">
        <v>0</v>
      </c>
      <c r="AB9" s="1" t="s">
        <v>60</v>
      </c>
      <c r="AC9" s="1" t="s">
        <v>60</v>
      </c>
      <c r="AD9" s="1">
        <v>510</v>
      </c>
      <c r="AE9" s="1">
        <v>124</v>
      </c>
      <c r="AF9" s="1">
        <v>28</v>
      </c>
      <c r="AG9" s="1">
        <v>0</v>
      </c>
    </row>
    <row r="10" spans="1:33" x14ac:dyDescent="0.2">
      <c r="A10" s="1">
        <v>9</v>
      </c>
      <c r="B10" s="1">
        <v>169</v>
      </c>
      <c r="C10" s="1" t="s">
        <v>65</v>
      </c>
      <c r="D10" s="1" t="s">
        <v>70</v>
      </c>
      <c r="E10" s="1" t="s">
        <v>59</v>
      </c>
      <c r="F10" s="1">
        <v>4</v>
      </c>
      <c r="G10" s="1"/>
      <c r="H10" s="1">
        <v>32</v>
      </c>
      <c r="I10" s="1">
        <v>27.58</v>
      </c>
      <c r="J10" s="1">
        <v>28.28</v>
      </c>
      <c r="K10" s="1">
        <v>0.70000000000000284</v>
      </c>
      <c r="L10" s="2">
        <v>6</v>
      </c>
      <c r="M10" s="2">
        <v>7.1</v>
      </c>
      <c r="N10" s="2">
        <f>Table4[[#This Row],[re_1_outer_flc]]-Table4[[#This Row],[re_1_inner_flc]]</f>
        <v>1.0999999999999996</v>
      </c>
      <c r="O10" s="2">
        <v>6</v>
      </c>
      <c r="P10" s="2">
        <v>6.88</v>
      </c>
      <c r="Q10" s="2">
        <f>Table4[[#This Row],[re_2_outer_flc]]-Table4[[#This Row],[re_2_inner_flc]]</f>
        <v>0.87999999999999989</v>
      </c>
      <c r="R10" s="2">
        <v>6</v>
      </c>
      <c r="S10" s="2">
        <v>6.7</v>
      </c>
      <c r="T10" s="2">
        <f>Table4[[#This Row],[re_3_outer_flc]]-Table4[[#This Row],[re_3_inner_flc]]</f>
        <v>0.70000000000000018</v>
      </c>
      <c r="V10" s="1" t="s">
        <v>60</v>
      </c>
      <c r="W10" s="1" t="s">
        <v>60</v>
      </c>
      <c r="X10" s="1" t="s">
        <v>60</v>
      </c>
      <c r="Y10" s="1" t="s">
        <v>60</v>
      </c>
      <c r="Z10" s="1">
        <v>610</v>
      </c>
      <c r="AA10" s="1">
        <v>191</v>
      </c>
      <c r="AB10" s="1" t="s">
        <v>60</v>
      </c>
      <c r="AC10" s="1" t="s">
        <v>60</v>
      </c>
      <c r="AD10" s="1" t="s">
        <v>60</v>
      </c>
      <c r="AE10" s="1" t="s">
        <v>60</v>
      </c>
      <c r="AF10" s="1" t="s">
        <v>60</v>
      </c>
      <c r="AG10" s="1">
        <v>620</v>
      </c>
    </row>
    <row r="11" spans="1:33" x14ac:dyDescent="0.2">
      <c r="A11" s="1">
        <v>10</v>
      </c>
      <c r="B11" s="1">
        <v>174</v>
      </c>
      <c r="C11" s="1" t="s">
        <v>65</v>
      </c>
      <c r="D11" s="1" t="s">
        <v>71</v>
      </c>
      <c r="E11" s="1" t="s">
        <v>59</v>
      </c>
      <c r="F11" s="1">
        <v>1</v>
      </c>
      <c r="G11" s="1"/>
      <c r="H11" s="1">
        <v>8</v>
      </c>
      <c r="I11" s="1">
        <v>27.66</v>
      </c>
      <c r="J11" s="1">
        <v>29.22</v>
      </c>
      <c r="K11" s="1">
        <v>1.5599999999999987</v>
      </c>
      <c r="L11" s="2">
        <v>15.08</v>
      </c>
      <c r="M11" s="2">
        <v>18.64</v>
      </c>
      <c r="N11" s="2">
        <f>Table4[[#This Row],[re_1_outer_flc]]-Table4[[#This Row],[re_1_inner_flc]]</f>
        <v>3.5600000000000005</v>
      </c>
      <c r="O11" s="2">
        <v>15.68</v>
      </c>
      <c r="P11" s="2">
        <v>20.36</v>
      </c>
      <c r="Q11" s="2">
        <f>Table4[[#This Row],[re_2_outer_flc]]-Table4[[#This Row],[re_2_inner_flc]]</f>
        <v>4.68</v>
      </c>
      <c r="R11" s="2">
        <v>17.36</v>
      </c>
      <c r="S11" s="2">
        <v>20.28</v>
      </c>
      <c r="T11" s="2">
        <f>Table4[[#This Row],[re_3_outer_flc]]-Table4[[#This Row],[re_3_inner_flc]]</f>
        <v>2.9200000000000017</v>
      </c>
      <c r="V11" s="1" t="s">
        <v>60</v>
      </c>
      <c r="W11" s="1" t="s">
        <v>60</v>
      </c>
      <c r="X11" s="1">
        <v>30</v>
      </c>
      <c r="Y11" s="1">
        <v>0</v>
      </c>
      <c r="Z11" s="1">
        <v>0</v>
      </c>
      <c r="AA11" s="1">
        <v>0</v>
      </c>
      <c r="AB11" s="1" t="s">
        <v>60</v>
      </c>
      <c r="AC11" s="1" t="s">
        <v>60</v>
      </c>
      <c r="AD11" s="1">
        <v>103</v>
      </c>
      <c r="AE11" s="1">
        <v>4</v>
      </c>
      <c r="AF11" s="1">
        <v>0</v>
      </c>
      <c r="AG11" s="1">
        <v>1</v>
      </c>
    </row>
    <row r="12" spans="1:33" x14ac:dyDescent="0.2">
      <c r="A12" s="1">
        <v>11</v>
      </c>
      <c r="B12" s="1">
        <v>196</v>
      </c>
      <c r="C12" s="1" t="s">
        <v>72</v>
      </c>
      <c r="D12" s="1" t="s">
        <v>73</v>
      </c>
      <c r="E12" s="1" t="s">
        <v>59</v>
      </c>
      <c r="F12" s="1">
        <v>4</v>
      </c>
      <c r="G12" s="1"/>
      <c r="H12" s="1">
        <v>32</v>
      </c>
      <c r="I12" s="1">
        <v>6</v>
      </c>
      <c r="J12" s="1">
        <v>6</v>
      </c>
      <c r="K12" s="1">
        <v>0</v>
      </c>
      <c r="L12" s="2">
        <v>6</v>
      </c>
      <c r="M12" s="2">
        <v>6</v>
      </c>
      <c r="N12" s="2">
        <f>Table4[[#This Row],[re_1_outer_flc]]-Table4[[#This Row],[re_1_inner_flc]]</f>
        <v>0</v>
      </c>
      <c r="O12" s="2">
        <v>6</v>
      </c>
      <c r="P12" s="2">
        <v>6</v>
      </c>
      <c r="Q12" s="2">
        <f>Table4[[#This Row],[re_2_outer_flc]]-Table4[[#This Row],[re_2_inner_flc]]</f>
        <v>0</v>
      </c>
      <c r="R12" s="2">
        <v>6</v>
      </c>
      <c r="S12" s="2">
        <v>6</v>
      </c>
      <c r="T12" s="2">
        <f>Table4[[#This Row],[re_3_outer_flc]]-Table4[[#This Row],[re_3_inner_flc]]</f>
        <v>0</v>
      </c>
      <c r="V12" s="1" t="s">
        <v>60</v>
      </c>
      <c r="W12" s="1" t="s">
        <v>60</v>
      </c>
      <c r="X12" s="1" t="s">
        <v>60</v>
      </c>
      <c r="Y12" s="1" t="s">
        <v>60</v>
      </c>
      <c r="Z12" s="1" t="s">
        <v>60</v>
      </c>
      <c r="AA12" s="1" t="s">
        <v>60</v>
      </c>
      <c r="AB12" s="1" t="s">
        <v>60</v>
      </c>
      <c r="AC12" s="1" t="s">
        <v>60</v>
      </c>
      <c r="AD12" s="1" t="s">
        <v>60</v>
      </c>
      <c r="AE12" s="1" t="s">
        <v>60</v>
      </c>
      <c r="AF12" s="1" t="s">
        <v>60</v>
      </c>
      <c r="AG12" s="1" t="s">
        <v>60</v>
      </c>
    </row>
    <row r="13" spans="1:33" x14ac:dyDescent="0.2">
      <c r="A13" s="1">
        <v>12</v>
      </c>
      <c r="B13" s="1">
        <v>197</v>
      </c>
      <c r="C13" s="1" t="s">
        <v>72</v>
      </c>
      <c r="D13" s="1" t="s">
        <v>74</v>
      </c>
      <c r="E13" s="1" t="s">
        <v>59</v>
      </c>
      <c r="F13" s="1">
        <v>8</v>
      </c>
      <c r="G13" s="1"/>
      <c r="H13" s="1">
        <v>64</v>
      </c>
      <c r="I13" s="1">
        <v>6</v>
      </c>
      <c r="J13" s="1">
        <v>6</v>
      </c>
      <c r="K13" s="1">
        <v>0</v>
      </c>
      <c r="L13" s="2">
        <v>6</v>
      </c>
      <c r="M13" s="2">
        <v>6</v>
      </c>
      <c r="N13" s="2">
        <f>Table4[[#This Row],[re_1_outer_flc]]-Table4[[#This Row],[re_1_inner_flc]]</f>
        <v>0</v>
      </c>
      <c r="O13" s="2">
        <v>6</v>
      </c>
      <c r="P13" s="2">
        <v>6</v>
      </c>
      <c r="Q13" s="2">
        <f>Table4[[#This Row],[re_2_outer_flc]]-Table4[[#This Row],[re_2_inner_flc]]</f>
        <v>0</v>
      </c>
      <c r="R13" s="2">
        <v>6</v>
      </c>
      <c r="S13" s="2">
        <v>6</v>
      </c>
      <c r="T13" s="2">
        <f>Table4[[#This Row],[re_3_outer_flc]]-Table4[[#This Row],[re_3_inner_flc]]</f>
        <v>0</v>
      </c>
      <c r="V13" s="1" t="s">
        <v>60</v>
      </c>
      <c r="W13" s="1" t="s">
        <v>60</v>
      </c>
      <c r="X13" s="1" t="s">
        <v>60</v>
      </c>
      <c r="Y13" s="1" t="s">
        <v>60</v>
      </c>
      <c r="Z13" s="1" t="s">
        <v>60</v>
      </c>
      <c r="AA13" s="1" t="s">
        <v>60</v>
      </c>
      <c r="AB13" s="1" t="s">
        <v>60</v>
      </c>
      <c r="AC13" s="1" t="s">
        <v>60</v>
      </c>
      <c r="AD13" s="1" t="s">
        <v>60</v>
      </c>
      <c r="AE13" s="1" t="s">
        <v>60</v>
      </c>
      <c r="AF13" s="1" t="s">
        <v>60</v>
      </c>
      <c r="AG13" s="1" t="s">
        <v>60</v>
      </c>
    </row>
    <row r="14" spans="1:33" x14ac:dyDescent="0.2">
      <c r="A14" s="1">
        <v>13</v>
      </c>
      <c r="B14" s="1">
        <v>198</v>
      </c>
      <c r="C14" s="1" t="s">
        <v>72</v>
      </c>
      <c r="D14" s="1" t="s">
        <v>75</v>
      </c>
      <c r="E14" s="1" t="s">
        <v>59</v>
      </c>
      <c r="F14" s="1">
        <v>64</v>
      </c>
      <c r="G14" s="1"/>
      <c r="H14" s="1">
        <v>512</v>
      </c>
      <c r="I14" s="1">
        <v>6</v>
      </c>
      <c r="J14" s="1">
        <v>6</v>
      </c>
      <c r="K14" s="1">
        <v>0</v>
      </c>
      <c r="L14" s="2">
        <v>6</v>
      </c>
      <c r="M14" s="2">
        <v>6</v>
      </c>
      <c r="N14" s="2">
        <f>Table4[[#This Row],[re_1_outer_flc]]-Table4[[#This Row],[re_1_inner_flc]]</f>
        <v>0</v>
      </c>
      <c r="O14" s="2">
        <v>6</v>
      </c>
      <c r="P14" s="2">
        <v>6</v>
      </c>
      <c r="Q14" s="2">
        <f>Table4[[#This Row],[re_2_outer_flc]]-Table4[[#This Row],[re_2_inner_flc]]</f>
        <v>0</v>
      </c>
      <c r="R14" s="2">
        <v>6</v>
      </c>
      <c r="S14" s="2">
        <v>6</v>
      </c>
      <c r="T14" s="2">
        <f>Table4[[#This Row],[re_3_outer_flc]]-Table4[[#This Row],[re_3_inner_flc]]</f>
        <v>0</v>
      </c>
      <c r="V14" s="1" t="s">
        <v>60</v>
      </c>
      <c r="W14" s="1" t="s">
        <v>60</v>
      </c>
      <c r="X14" s="1" t="s">
        <v>60</v>
      </c>
      <c r="Y14" s="1" t="s">
        <v>60</v>
      </c>
      <c r="Z14" s="1" t="s">
        <v>60</v>
      </c>
      <c r="AA14" s="1" t="s">
        <v>60</v>
      </c>
      <c r="AB14" s="1" t="s">
        <v>60</v>
      </c>
      <c r="AC14" s="1" t="s">
        <v>60</v>
      </c>
      <c r="AD14" s="1" t="s">
        <v>60</v>
      </c>
      <c r="AE14" s="1" t="s">
        <v>60</v>
      </c>
      <c r="AF14" s="1" t="s">
        <v>60</v>
      </c>
      <c r="AG14" s="1" t="s">
        <v>60</v>
      </c>
    </row>
    <row r="15" spans="1:33" x14ac:dyDescent="0.2">
      <c r="A15" s="1">
        <v>14</v>
      </c>
      <c r="B15" s="1">
        <v>208</v>
      </c>
      <c r="C15" s="1" t="s">
        <v>57</v>
      </c>
      <c r="D15" s="1" t="s">
        <v>76</v>
      </c>
      <c r="E15" s="1" t="s">
        <v>59</v>
      </c>
      <c r="F15" s="1">
        <v>1</v>
      </c>
      <c r="G15" s="1"/>
      <c r="H15" s="1">
        <v>8</v>
      </c>
      <c r="I15" s="1">
        <v>10.38</v>
      </c>
      <c r="J15" s="1">
        <v>32.799999999999997</v>
      </c>
      <c r="K15" s="1">
        <v>22.419999999999995</v>
      </c>
      <c r="L15" s="2">
        <v>16.18</v>
      </c>
      <c r="M15" s="2">
        <v>26.26</v>
      </c>
      <c r="N15" s="2">
        <f>Table4[[#This Row],[re_1_outer_flc]]-Table4[[#This Row],[re_1_inner_flc]]</f>
        <v>10.080000000000002</v>
      </c>
      <c r="O15" s="2">
        <v>16.28</v>
      </c>
      <c r="P15" s="2">
        <v>27.26</v>
      </c>
      <c r="Q15" s="2">
        <f>Table4[[#This Row],[re_2_outer_flc]]-Table4[[#This Row],[re_2_inner_flc]]</f>
        <v>10.98</v>
      </c>
      <c r="R15" s="2">
        <v>21.62</v>
      </c>
      <c r="S15" s="2">
        <v>26.7</v>
      </c>
      <c r="T15" s="2">
        <f>Table4[[#This Row],[re_3_outer_flc]]-Table4[[#This Row],[re_3_inner_flc]]</f>
        <v>5.0799999999999983</v>
      </c>
      <c r="V15" s="1" t="s">
        <v>60</v>
      </c>
      <c r="W15" s="1">
        <v>262</v>
      </c>
      <c r="X15" s="1" t="s">
        <v>64</v>
      </c>
      <c r="Y15" s="1">
        <v>0</v>
      </c>
      <c r="Z15" s="1">
        <v>0</v>
      </c>
      <c r="AA15" s="1">
        <v>0</v>
      </c>
      <c r="AB15" s="1" t="s">
        <v>60</v>
      </c>
      <c r="AC15" s="1">
        <v>320</v>
      </c>
      <c r="AD15" s="1">
        <v>18</v>
      </c>
      <c r="AE15" s="1">
        <v>0</v>
      </c>
      <c r="AF15" s="1">
        <v>0</v>
      </c>
      <c r="AG15" s="1">
        <v>0</v>
      </c>
    </row>
    <row r="16" spans="1:33" x14ac:dyDescent="0.2">
      <c r="A16" s="1">
        <v>15</v>
      </c>
      <c r="B16" s="1">
        <v>213</v>
      </c>
      <c r="C16" s="1" t="s">
        <v>57</v>
      </c>
      <c r="D16" s="1" t="s">
        <v>77</v>
      </c>
      <c r="E16" s="1" t="s">
        <v>59</v>
      </c>
      <c r="F16" s="1">
        <v>8</v>
      </c>
      <c r="G16" s="1"/>
      <c r="H16" s="1">
        <v>64</v>
      </c>
      <c r="I16" s="1">
        <v>9.8800000000000008</v>
      </c>
      <c r="J16" s="1">
        <v>21.78</v>
      </c>
      <c r="K16" s="1">
        <v>11.9</v>
      </c>
      <c r="L16" s="2">
        <v>6</v>
      </c>
      <c r="M16" s="2">
        <v>13.54</v>
      </c>
      <c r="N16" s="2">
        <f>Table4[[#This Row],[re_1_outer_flc]]-Table4[[#This Row],[re_1_inner_flc]]</f>
        <v>7.5399999999999991</v>
      </c>
      <c r="O16" s="2">
        <v>6</v>
      </c>
      <c r="P16" s="2">
        <v>13.04</v>
      </c>
      <c r="Q16" s="2">
        <f>Table4[[#This Row],[re_2_outer_flc]]-Table4[[#This Row],[re_2_inner_flc]]</f>
        <v>7.0399999999999991</v>
      </c>
      <c r="R16" s="2">
        <v>6</v>
      </c>
      <c r="S16" s="2">
        <v>12.46</v>
      </c>
      <c r="T16" s="2">
        <f>Table4[[#This Row],[re_3_outer_flc]]-Table4[[#This Row],[re_3_inner_flc]]</f>
        <v>6.4600000000000009</v>
      </c>
      <c r="V16" s="1" t="s">
        <v>60</v>
      </c>
      <c r="W16" s="1" t="s">
        <v>60</v>
      </c>
      <c r="X16" s="1" t="s">
        <v>60</v>
      </c>
      <c r="Y16" s="1" t="s">
        <v>60</v>
      </c>
      <c r="Z16" s="1" t="s">
        <v>60</v>
      </c>
      <c r="AA16" s="1" t="s">
        <v>60</v>
      </c>
      <c r="AB16" s="1" t="s">
        <v>60</v>
      </c>
      <c r="AC16" s="1" t="s">
        <v>60</v>
      </c>
      <c r="AD16" s="1" t="s">
        <v>60</v>
      </c>
      <c r="AE16" s="1" t="s">
        <v>60</v>
      </c>
      <c r="AF16" s="1" t="s">
        <v>60</v>
      </c>
      <c r="AG16" s="1" t="s">
        <v>60</v>
      </c>
    </row>
    <row r="17" spans="1:33" x14ac:dyDescent="0.2">
      <c r="A17" s="1">
        <v>16</v>
      </c>
      <c r="B17" s="1">
        <v>215</v>
      </c>
      <c r="C17" s="1" t="s">
        <v>57</v>
      </c>
      <c r="D17" s="1" t="s">
        <v>79</v>
      </c>
      <c r="E17" s="1" t="s">
        <v>59</v>
      </c>
      <c r="F17" s="1">
        <v>1</v>
      </c>
      <c r="G17" s="1"/>
      <c r="H17" s="1">
        <v>8</v>
      </c>
      <c r="I17" s="1">
        <v>14.48</v>
      </c>
      <c r="J17" s="1">
        <v>24.7</v>
      </c>
      <c r="K17" s="1">
        <v>10.219999999999999</v>
      </c>
      <c r="L17" s="2">
        <v>14.92</v>
      </c>
      <c r="M17" s="2">
        <v>27.06</v>
      </c>
      <c r="N17" s="2">
        <f>Table4[[#This Row],[re_1_outer_flc]]-Table4[[#This Row],[re_1_inner_flc]]</f>
        <v>12.139999999999999</v>
      </c>
      <c r="O17" s="2">
        <v>19.62</v>
      </c>
      <c r="P17" s="2">
        <v>26.48</v>
      </c>
      <c r="Q17" s="2">
        <f>Table4[[#This Row],[re_2_outer_flc]]-Table4[[#This Row],[re_2_inner_flc]]</f>
        <v>6.8599999999999994</v>
      </c>
      <c r="R17" s="2">
        <v>21.28</v>
      </c>
      <c r="S17" s="2">
        <v>26.72</v>
      </c>
      <c r="T17" s="2">
        <f>Table4[[#This Row],[re_3_outer_flc]]-Table4[[#This Row],[re_3_inner_flc]]</f>
        <v>5.4399999999999977</v>
      </c>
      <c r="V17" s="1" t="s">
        <v>60</v>
      </c>
      <c r="W17" s="1">
        <v>112</v>
      </c>
      <c r="X17" s="1">
        <v>32</v>
      </c>
      <c r="Y17" s="1">
        <v>2</v>
      </c>
      <c r="Z17" s="1">
        <v>1</v>
      </c>
      <c r="AA17" s="1">
        <v>1</v>
      </c>
      <c r="AB17" s="1" t="s">
        <v>60</v>
      </c>
      <c r="AC17" s="1">
        <v>210</v>
      </c>
      <c r="AD17" s="1">
        <v>61</v>
      </c>
      <c r="AE17" s="1">
        <v>6</v>
      </c>
      <c r="AF17" s="1">
        <v>2</v>
      </c>
      <c r="AG17" s="1">
        <v>2</v>
      </c>
    </row>
    <row r="18" spans="1:33" x14ac:dyDescent="0.2">
      <c r="A18" s="1">
        <v>17</v>
      </c>
      <c r="B18" s="1">
        <v>217</v>
      </c>
      <c r="C18" s="1" t="s">
        <v>57</v>
      </c>
      <c r="D18" s="1" t="s">
        <v>80</v>
      </c>
      <c r="E18" s="1" t="s">
        <v>59</v>
      </c>
      <c r="F18" s="1">
        <v>1</v>
      </c>
      <c r="G18" s="1"/>
      <c r="H18" s="1">
        <v>8</v>
      </c>
      <c r="I18" s="1">
        <v>22.62</v>
      </c>
      <c r="J18" s="1">
        <v>34.96</v>
      </c>
      <c r="K18" s="1">
        <v>12.34</v>
      </c>
      <c r="L18" s="2">
        <v>12.9</v>
      </c>
      <c r="M18" s="2">
        <v>16.5</v>
      </c>
      <c r="N18" s="2">
        <f>Table4[[#This Row],[re_1_outer_flc]]-Table4[[#This Row],[re_1_inner_flc]]</f>
        <v>3.5999999999999996</v>
      </c>
      <c r="O18" s="2">
        <v>12.4</v>
      </c>
      <c r="P18" s="2">
        <v>16.440000000000001</v>
      </c>
      <c r="Q18" s="2">
        <f>Table4[[#This Row],[re_2_outer_flc]]-Table4[[#This Row],[re_2_inner_flc]]</f>
        <v>4.0400000000000009</v>
      </c>
      <c r="R18" s="2">
        <v>13.9</v>
      </c>
      <c r="S18" s="2">
        <v>16.52</v>
      </c>
      <c r="T18" s="2">
        <f>Table4[[#This Row],[re_3_outer_flc]]-Table4[[#This Row],[re_3_inner_flc]]</f>
        <v>2.6199999999999992</v>
      </c>
      <c r="V18" s="1" t="s">
        <v>60</v>
      </c>
      <c r="W18" s="1" t="s">
        <v>60</v>
      </c>
      <c r="X18" s="1">
        <v>51</v>
      </c>
      <c r="Y18" s="1" t="s">
        <v>64</v>
      </c>
      <c r="Z18" s="1">
        <v>0</v>
      </c>
      <c r="AA18" s="1">
        <v>0</v>
      </c>
      <c r="AB18" s="1" t="s">
        <v>60</v>
      </c>
      <c r="AC18" s="1" t="s">
        <v>60</v>
      </c>
      <c r="AD18" s="1">
        <v>170</v>
      </c>
      <c r="AE18" s="1">
        <v>34</v>
      </c>
      <c r="AF18" s="1">
        <v>2</v>
      </c>
      <c r="AG18" s="1">
        <v>0</v>
      </c>
    </row>
    <row r="19" spans="1:33" x14ac:dyDescent="0.2">
      <c r="A19" s="1">
        <v>18</v>
      </c>
      <c r="B19" s="1">
        <v>225</v>
      </c>
      <c r="C19" s="1" t="s">
        <v>65</v>
      </c>
      <c r="D19" s="1" t="s">
        <v>81</v>
      </c>
      <c r="E19" s="1" t="s">
        <v>59</v>
      </c>
      <c r="F19" s="1">
        <v>4</v>
      </c>
      <c r="G19" s="1"/>
      <c r="H19" s="1">
        <v>32</v>
      </c>
      <c r="I19" s="1">
        <v>26.56</v>
      </c>
      <c r="J19" s="1">
        <v>26.8</v>
      </c>
      <c r="K19" s="1">
        <v>0.24000000000000199</v>
      </c>
      <c r="L19" s="2">
        <v>10.08</v>
      </c>
      <c r="M19" s="2">
        <v>18.899999999999999</v>
      </c>
      <c r="N19" s="2">
        <f>Table4[[#This Row],[re_1_outer_flc]]-Table4[[#This Row],[re_1_inner_flc]]</f>
        <v>8.8199999999999985</v>
      </c>
      <c r="O19" s="2">
        <v>14.38</v>
      </c>
      <c r="P19" s="2">
        <v>21.72</v>
      </c>
      <c r="Q19" s="2">
        <f>Table4[[#This Row],[re_2_outer_flc]]-Table4[[#This Row],[re_2_inner_flc]]</f>
        <v>7.3399999999999981</v>
      </c>
      <c r="R19" s="2">
        <v>6.7</v>
      </c>
      <c r="S19" s="2">
        <v>19.440000000000001</v>
      </c>
      <c r="T19" s="2">
        <f>Table4[[#This Row],[re_3_outer_flc]]-Table4[[#This Row],[re_3_inner_flc]]</f>
        <v>12.740000000000002</v>
      </c>
      <c r="V19" s="1" t="s">
        <v>60</v>
      </c>
      <c r="W19" s="1" t="s">
        <v>60</v>
      </c>
      <c r="X19" s="1">
        <v>273</v>
      </c>
      <c r="Y19" s="1">
        <v>10</v>
      </c>
      <c r="Z19" s="1">
        <v>0</v>
      </c>
      <c r="AA19" s="1">
        <v>0</v>
      </c>
      <c r="AB19" s="1" t="s">
        <v>60</v>
      </c>
      <c r="AC19" s="1" t="s">
        <v>60</v>
      </c>
      <c r="AD19" s="1">
        <v>394</v>
      </c>
      <c r="AE19" s="1">
        <v>83</v>
      </c>
      <c r="AF19" s="1" t="s">
        <v>64</v>
      </c>
      <c r="AG19" s="1">
        <v>0</v>
      </c>
    </row>
    <row r="20" spans="1:33" x14ac:dyDescent="0.2">
      <c r="A20" s="1">
        <v>19</v>
      </c>
      <c r="B20" s="1">
        <v>226</v>
      </c>
      <c r="C20" s="1" t="s">
        <v>65</v>
      </c>
      <c r="D20" s="1" t="s">
        <v>82</v>
      </c>
      <c r="E20" s="1" t="s">
        <v>59</v>
      </c>
      <c r="F20" s="1">
        <v>1</v>
      </c>
      <c r="G20" s="1"/>
      <c r="H20" s="1">
        <v>8</v>
      </c>
      <c r="I20" s="1">
        <v>26.56</v>
      </c>
      <c r="J20" s="1">
        <v>32.14</v>
      </c>
      <c r="K20" s="1">
        <v>5.5800000000000018</v>
      </c>
      <c r="L20" s="2">
        <v>15</v>
      </c>
      <c r="M20" s="2">
        <v>28.02</v>
      </c>
      <c r="N20" s="2">
        <f>Table4[[#This Row],[re_1_outer_flc]]-Table4[[#This Row],[re_1_inner_flc]]</f>
        <v>13.02</v>
      </c>
      <c r="O20" s="2">
        <v>18.14</v>
      </c>
      <c r="P20" s="2">
        <v>29.52</v>
      </c>
      <c r="Q20" s="2">
        <f>Table4[[#This Row],[re_2_outer_flc]]-Table4[[#This Row],[re_2_inner_flc]]</f>
        <v>11.379999999999999</v>
      </c>
      <c r="R20" s="2">
        <v>22.26</v>
      </c>
      <c r="S20" s="2">
        <v>30.7</v>
      </c>
      <c r="T20" s="2">
        <f>Table4[[#This Row],[re_3_outer_flc]]-Table4[[#This Row],[re_3_inner_flc]]</f>
        <v>8.4399999999999977</v>
      </c>
      <c r="V20" s="1" t="s">
        <v>60</v>
      </c>
      <c r="W20" s="1">
        <v>172</v>
      </c>
      <c r="X20" s="1">
        <v>47</v>
      </c>
      <c r="Y20" s="1">
        <v>0</v>
      </c>
      <c r="Z20" s="1">
        <v>0</v>
      </c>
      <c r="AA20" s="1">
        <v>0</v>
      </c>
      <c r="AB20" s="1" t="s">
        <v>60</v>
      </c>
      <c r="AC20" s="1">
        <v>370</v>
      </c>
      <c r="AD20" s="1">
        <v>101</v>
      </c>
      <c r="AE20" s="1">
        <v>3</v>
      </c>
      <c r="AF20" s="1">
        <v>0</v>
      </c>
      <c r="AG20" s="1">
        <v>0</v>
      </c>
    </row>
    <row r="21" spans="1:33" x14ac:dyDescent="0.2">
      <c r="A21" s="1">
        <v>20</v>
      </c>
      <c r="B21" s="1" t="s">
        <v>83</v>
      </c>
      <c r="C21" s="1" t="s">
        <v>84</v>
      </c>
      <c r="D21" s="1" t="s">
        <v>85</v>
      </c>
      <c r="E21" s="1" t="s">
        <v>59</v>
      </c>
      <c r="F21" s="1"/>
      <c r="G21" s="1">
        <v>8</v>
      </c>
      <c r="H21" s="1">
        <v>64</v>
      </c>
      <c r="I21" s="1">
        <v>18.38</v>
      </c>
      <c r="J21" s="1">
        <v>21.62</v>
      </c>
      <c r="K21" s="1">
        <v>3.24</v>
      </c>
      <c r="L21" s="2">
        <v>13.98</v>
      </c>
      <c r="M21" s="2">
        <v>17.8</v>
      </c>
      <c r="N21" s="2">
        <f>Table4[[#This Row],[re_1_outer_flc]]-Table4[[#This Row],[re_1_inner_flc]]</f>
        <v>3.8200000000000003</v>
      </c>
      <c r="O21" s="2">
        <v>12.66</v>
      </c>
      <c r="P21" s="2">
        <v>17.18</v>
      </c>
      <c r="Q21" s="2">
        <f>Table4[[#This Row],[re_2_outer_flc]]-Table4[[#This Row],[re_2_inner_flc]]</f>
        <v>4.5199999999999996</v>
      </c>
      <c r="R21" s="2">
        <v>11.38</v>
      </c>
      <c r="S21" s="2">
        <v>16.7</v>
      </c>
      <c r="T21" s="2">
        <f>Table4[[#This Row],[re_3_outer_flc]]-Table4[[#This Row],[re_3_inner_flc]]</f>
        <v>5.3199999999999985</v>
      </c>
      <c r="V21" s="1" t="s">
        <v>60</v>
      </c>
      <c r="W21" s="1" t="s">
        <v>60</v>
      </c>
      <c r="X21" s="1">
        <v>396</v>
      </c>
      <c r="Y21" s="1">
        <v>140</v>
      </c>
      <c r="Z21" s="1">
        <v>12</v>
      </c>
      <c r="AA21" s="1" t="s">
        <v>64</v>
      </c>
      <c r="AB21" s="1" t="s">
        <v>60</v>
      </c>
      <c r="AC21" s="1" t="s">
        <v>60</v>
      </c>
      <c r="AD21" s="1" t="s">
        <v>60</v>
      </c>
      <c r="AE21" s="1">
        <v>280</v>
      </c>
      <c r="AF21" s="1">
        <v>34</v>
      </c>
      <c r="AG21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Clinical_Isolates</vt:lpstr>
      <vt:lpstr>xxx01</vt:lpstr>
      <vt:lpstr>xxx02</vt:lpstr>
      <vt:lpstr>xxx03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</dc:creator>
  <cp:lastModifiedBy>Joseph A</cp:lastModifiedBy>
  <dcterms:created xsi:type="dcterms:W3CDTF">2026-05-11T06:57:28Z</dcterms:created>
  <dcterms:modified xsi:type="dcterms:W3CDTF">2026-06-17T02:43:02Z</dcterms:modified>
</cp:coreProperties>
</file>